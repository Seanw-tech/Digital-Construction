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naylorloveconstruction-my.sharepoint.com/personal/sean_wang_naylorlove_co_nz/Documents/Documents/02 Group/Clash Detection/"/>
    </mc:Choice>
  </mc:AlternateContent>
  <xr:revisionPtr revIDLastSave="5190" documentId="8_{E49EE0FD-55C0-4FC1-B5EB-4346031B22BE}" xr6:coauthVersionLast="47" xr6:coauthVersionMax="47" xr10:uidLastSave="{838075DE-4605-4B08-9765-5343DEB9CAC0}"/>
  <bookViews>
    <workbookView xWindow="-28920" yWindow="-120" windowWidth="29040" windowHeight="15720" tabRatio="759" activeTab="3" xr2:uid="{1E458558-ADFD-4F2F-9A2C-51DEE96E98DF}"/>
  </bookViews>
  <sheets>
    <sheet name="TIPS" sheetId="14" r:id="rId1"/>
    <sheet name="Clash Matrix (Update to suit)" sheetId="5" r:id="rId2"/>
    <sheet name="Rawdata (Do not edit)" sheetId="9" r:id="rId3"/>
    <sheet name="Clash Matrix Legend" sheetId="2" r:id="rId4"/>
    <sheet name="Item Categories" sheetId="1" r:id="rId5"/>
    <sheet name="Seismic Restraints Technical" sheetId="6" r:id="rId6"/>
    <sheet name="#7 Notes" sheetId="8" state="hidden" r:id="rId7"/>
  </sheets>
  <definedNames>
    <definedName name="_xlnm._FilterDatabase" localSheetId="2" hidden="1">'Rawdata (Do not edit)'!$A$2:$A$36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9" i="9" l="1"/>
  <c r="C180" i="9" s="1"/>
  <c r="C181" i="9" s="1"/>
  <c r="C182" i="9" s="1"/>
  <c r="C183" i="9" s="1"/>
  <c r="C184" i="9" s="1"/>
  <c r="C185" i="9" s="1"/>
  <c r="C186" i="9" s="1"/>
  <c r="C187" i="9" s="1"/>
  <c r="C188" i="9" s="1"/>
  <c r="C189" i="9" s="1"/>
  <c r="C190" i="9" s="1"/>
  <c r="C191" i="9" s="1"/>
  <c r="C192" i="9" s="1"/>
  <c r="C193" i="9" s="1"/>
  <c r="C194" i="9" s="1"/>
  <c r="C195" i="9" s="1"/>
  <c r="C196" i="9" s="1"/>
  <c r="C197" i="9" s="1"/>
  <c r="C198" i="9" s="1"/>
  <c r="C199" i="9" s="1"/>
  <c r="C200" i="9" s="1"/>
  <c r="C201" i="9" s="1"/>
  <c r="C202" i="9" s="1"/>
  <c r="C203" i="9" s="1"/>
  <c r="C204" i="9" s="1"/>
  <c r="C205" i="9" s="1"/>
  <c r="C206" i="9" s="1"/>
  <c r="C207" i="9" s="1"/>
  <c r="C208" i="9" s="1"/>
  <c r="C178" i="9"/>
  <c r="B627" i="9" a="1"/>
  <c r="B627" i="9" s="1"/>
  <c r="A627" i="9" a="1"/>
  <c r="A627" i="9" s="1"/>
  <c r="C614" i="9"/>
  <c r="C615" i="9" s="1"/>
  <c r="C616" i="9" s="1"/>
  <c r="C617" i="9" s="1"/>
  <c r="C618" i="9" s="1"/>
  <c r="C619" i="9" s="1"/>
  <c r="C620" i="9" s="1"/>
  <c r="C621" i="9" s="1"/>
  <c r="C622" i="9" s="1"/>
  <c r="C623" i="9" s="1"/>
  <c r="C624" i="9" s="1"/>
  <c r="C625" i="9" s="1"/>
  <c r="C626" i="9" s="1"/>
  <c r="C600" i="9"/>
  <c r="C601" i="9" s="1"/>
  <c r="C602" i="9" s="1"/>
  <c r="C603" i="9" s="1"/>
  <c r="C604" i="9" s="1"/>
  <c r="C605" i="9" s="1"/>
  <c r="C606" i="9" s="1"/>
  <c r="C607" i="9" s="1"/>
  <c r="C608" i="9" s="1"/>
  <c r="C609" i="9" s="1"/>
  <c r="C610" i="9" s="1"/>
  <c r="C611" i="9" s="1"/>
  <c r="C612" i="9" s="1"/>
  <c r="C613" i="9" s="1"/>
  <c r="C551" i="9"/>
  <c r="C550" i="9"/>
  <c r="C549" i="9"/>
  <c r="C548" i="9"/>
  <c r="C547" i="9"/>
  <c r="C546" i="9"/>
  <c r="C545" i="9"/>
  <c r="C544" i="9"/>
  <c r="C543" i="9"/>
  <c r="C542" i="9"/>
  <c r="C541" i="9"/>
  <c r="C540" i="9"/>
  <c r="C539" i="9"/>
  <c r="C538" i="9"/>
  <c r="C537" i="9"/>
  <c r="C536" i="9"/>
  <c r="C535" i="9"/>
  <c r="C534" i="9"/>
  <c r="C568" i="9"/>
  <c r="C567" i="9"/>
  <c r="C566" i="9"/>
  <c r="C565" i="9"/>
  <c r="C564" i="9"/>
  <c r="C563" i="9"/>
  <c r="C562" i="9"/>
  <c r="C561" i="9"/>
  <c r="C560" i="9"/>
  <c r="C559" i="9"/>
  <c r="C558" i="9"/>
  <c r="C557" i="9"/>
  <c r="C556" i="9"/>
  <c r="C555" i="9"/>
  <c r="C554" i="9"/>
  <c r="C553" i="9"/>
  <c r="C552" i="9"/>
  <c r="C533" i="9"/>
  <c r="C532" i="9"/>
  <c r="C531" i="9"/>
  <c r="C530" i="9"/>
  <c r="C529" i="9"/>
  <c r="C528" i="9"/>
  <c r="C527" i="9"/>
  <c r="C526" i="9"/>
  <c r="C525" i="9"/>
  <c r="C524" i="9"/>
  <c r="C523" i="9"/>
  <c r="C522" i="9"/>
  <c r="C521" i="9"/>
  <c r="C520" i="9"/>
  <c r="C519" i="9"/>
  <c r="C518" i="9"/>
  <c r="C517" i="9"/>
  <c r="C516" i="9"/>
  <c r="C515" i="9"/>
  <c r="C689" i="9"/>
  <c r="C688" i="9"/>
  <c r="C687" i="9"/>
  <c r="E687" i="9" s="1"/>
  <c r="C686" i="9"/>
  <c r="E686" i="9"/>
  <c r="C685" i="9"/>
  <c r="E685" i="9" s="1"/>
  <c r="C684" i="9"/>
  <c r="A704" i="9" a="1"/>
  <c r="A704" i="9" s="1"/>
  <c r="B704" i="9" a="1"/>
  <c r="B704" i="9" s="1"/>
  <c r="D704" i="9" a="1"/>
  <c r="D704" i="9" s="1"/>
  <c r="C704" i="9" s="1"/>
  <c r="C301" i="9"/>
  <c r="C302" i="9"/>
  <c r="C303" i="9"/>
  <c r="C304" i="9"/>
  <c r="C305" i="9"/>
  <c r="C306" i="9"/>
  <c r="C307" i="9" s="1"/>
  <c r="C308" i="9" s="1"/>
  <c r="C309" i="9" s="1"/>
  <c r="C310" i="9" s="1"/>
  <c r="C311" i="9" s="1"/>
  <c r="C312" i="9" s="1"/>
  <c r="C313" i="9" s="1"/>
  <c r="C314" i="9" s="1"/>
  <c r="C315" i="9" s="1"/>
  <c r="C316" i="9" s="1"/>
  <c r="C317" i="9" s="1"/>
  <c r="C318" i="9" s="1"/>
  <c r="C319" i="9" s="1"/>
  <c r="C320" i="9" s="1"/>
  <c r="C321" i="9" s="1"/>
  <c r="C322" i="9" s="1"/>
  <c r="C323" i="9" s="1"/>
  <c r="C324" i="9" s="1"/>
  <c r="C325" i="9" s="1"/>
  <c r="C326" i="9" s="1"/>
  <c r="C300" i="9"/>
  <c r="A702" i="9" a="1"/>
  <c r="A702" i="9" s="1"/>
  <c r="B702" i="9" a="1"/>
  <c r="B702" i="9" s="1"/>
  <c r="D702" i="9" a="1"/>
  <c r="D702" i="9" s="1"/>
  <c r="C702" i="9" s="1"/>
  <c r="C703" i="9" s="1"/>
  <c r="C38" i="9"/>
  <c r="A39" i="9" a="1"/>
  <c r="A39" i="9" s="1"/>
  <c r="B39" i="9" a="1"/>
  <c r="B39" i="9" s="1"/>
  <c r="C39" i="9"/>
  <c r="A75" i="9" a="1"/>
  <c r="A75" i="9" s="1"/>
  <c r="B75" i="9" a="1"/>
  <c r="B75" i="9" s="1"/>
  <c r="C75" i="9"/>
  <c r="A110" i="9" a="1"/>
  <c r="A110" i="9" s="1"/>
  <c r="B110" i="9" a="1"/>
  <c r="B110" i="9" s="1"/>
  <c r="C110" i="9"/>
  <c r="A144" i="9" a="1"/>
  <c r="A144" i="9" s="1"/>
  <c r="B144" i="9" a="1"/>
  <c r="B144" i="9" s="1"/>
  <c r="A177" i="9" a="1"/>
  <c r="A177" i="9" s="1"/>
  <c r="B177" i="9" a="1"/>
  <c r="B177" i="9" s="1"/>
  <c r="C177" i="9"/>
  <c r="A209" i="9" a="1"/>
  <c r="A209" i="9" s="1"/>
  <c r="B209" i="9" a="1"/>
  <c r="B209" i="9" s="1"/>
  <c r="C209" i="9"/>
  <c r="A240" i="9" a="1"/>
  <c r="A240" i="9" s="1"/>
  <c r="B240" i="9" a="1"/>
  <c r="B240" i="9" s="1"/>
  <c r="C240" i="9"/>
  <c r="A270" i="9" a="1"/>
  <c r="A270" i="9" s="1"/>
  <c r="B270" i="9" a="1"/>
  <c r="B270" i="9" s="1"/>
  <c r="A299" i="9" a="1"/>
  <c r="A299" i="9" s="1"/>
  <c r="B299" i="9" a="1"/>
  <c r="B299" i="9" s="1"/>
  <c r="C299" i="9"/>
  <c r="A327" i="9" a="1"/>
  <c r="A327" i="9" s="1"/>
  <c r="B327" i="9" a="1"/>
  <c r="B327" i="9" s="1"/>
  <c r="C327" i="9"/>
  <c r="A354" i="9" a="1"/>
  <c r="A354" i="9" s="1"/>
  <c r="B354" i="9" a="1"/>
  <c r="B354" i="9" s="1"/>
  <c r="A380" i="9" a="1"/>
  <c r="A380" i="9" s="1"/>
  <c r="B380" i="9" a="1"/>
  <c r="B380" i="9" s="1"/>
  <c r="A405" i="9" a="1"/>
  <c r="A405" i="9" s="1"/>
  <c r="B405" i="9" a="1"/>
  <c r="B405" i="9" s="1"/>
  <c r="A429" i="9" a="1"/>
  <c r="A429" i="9" s="1"/>
  <c r="B429" i="9" a="1"/>
  <c r="B429" i="9" s="1"/>
  <c r="C429" i="9"/>
  <c r="C430" i="9"/>
  <c r="A452" i="9" a="1"/>
  <c r="A452" i="9" s="1"/>
  <c r="B452" i="9" a="1"/>
  <c r="B452" i="9" s="1"/>
  <c r="C452" i="9"/>
  <c r="A474" i="9" a="1"/>
  <c r="A474" i="9" s="1"/>
  <c r="B474" i="9" a="1"/>
  <c r="B474" i="9" s="1"/>
  <c r="A495" i="9" a="1"/>
  <c r="A495" i="9" s="1"/>
  <c r="B495" i="9" a="1"/>
  <c r="B495" i="9" s="1"/>
  <c r="A515" i="9" a="1"/>
  <c r="A515" i="9" s="1"/>
  <c r="B515" i="9" a="1"/>
  <c r="B515" i="9" s="1"/>
  <c r="A534" i="9" a="1"/>
  <c r="A534" i="9" s="1"/>
  <c r="B534" i="9" a="1"/>
  <c r="B534" i="9" s="1"/>
  <c r="A552" i="9" a="1"/>
  <c r="A552" i="9" s="1"/>
  <c r="B552" i="9" a="1"/>
  <c r="B552" i="9" s="1"/>
  <c r="A569" i="9" a="1"/>
  <c r="A569" i="9" s="1"/>
  <c r="B569" i="9" a="1"/>
  <c r="B569" i="9" s="1"/>
  <c r="A585" i="9" a="1"/>
  <c r="A585" i="9" s="1"/>
  <c r="B585" i="9" a="1"/>
  <c r="B585" i="9" s="1"/>
  <c r="A600" i="9" a="1"/>
  <c r="A600" i="9" s="1"/>
  <c r="B600" i="9" a="1"/>
  <c r="B600" i="9" s="1"/>
  <c r="A614" i="9" a="1"/>
  <c r="A614" i="9" s="1"/>
  <c r="B614" i="9" a="1"/>
  <c r="B614" i="9" s="1"/>
  <c r="A639" i="9" a="1"/>
  <c r="A639" i="9" s="1"/>
  <c r="B639" i="9" a="1"/>
  <c r="B639" i="9" s="1"/>
  <c r="A650" i="9" a="1"/>
  <c r="A650" i="9" s="1"/>
  <c r="B650" i="9" a="1"/>
  <c r="B650" i="9" s="1"/>
  <c r="A660" i="9" a="1"/>
  <c r="A660" i="9" s="1"/>
  <c r="B660" i="9" a="1"/>
  <c r="B660" i="9" s="1"/>
  <c r="D660" i="9" a="1"/>
  <c r="D660" i="9" s="1"/>
  <c r="A669" i="9" a="1"/>
  <c r="A669" i="9" s="1"/>
  <c r="B669" i="9" a="1"/>
  <c r="B669" i="9" s="1"/>
  <c r="D669" i="9" a="1"/>
  <c r="D669" i="9" s="1"/>
  <c r="A677" i="9" a="1"/>
  <c r="A677" i="9" s="1"/>
  <c r="B677" i="9" a="1"/>
  <c r="B677" i="9" s="1"/>
  <c r="D677" i="9" a="1"/>
  <c r="D677" i="9" s="1"/>
  <c r="E678" i="9"/>
  <c r="E679" i="9"/>
  <c r="A684" i="9" a="1"/>
  <c r="A684" i="9" s="1"/>
  <c r="B684" i="9" a="1"/>
  <c r="B684" i="9" s="1"/>
  <c r="D684" i="9" a="1"/>
  <c r="D684" i="9" s="1"/>
  <c r="E688" i="9"/>
  <c r="A690" i="9" a="1"/>
  <c r="A690" i="9" s="1"/>
  <c r="B690" i="9" a="1"/>
  <c r="B690" i="9" s="1"/>
  <c r="D690" i="9" a="1"/>
  <c r="D690" i="9" s="1"/>
  <c r="A695" i="9" a="1"/>
  <c r="A695" i="9" s="1"/>
  <c r="B695" i="9" a="1"/>
  <c r="B695" i="9" s="1"/>
  <c r="E695" i="9" s="1"/>
  <c r="D695" i="9" a="1"/>
  <c r="D695" i="9" s="1"/>
  <c r="A699" i="9" a="1"/>
  <c r="A699" i="9" s="1"/>
  <c r="B699" i="9" a="1"/>
  <c r="B699" i="9" s="1"/>
  <c r="D699" i="9" a="1"/>
  <c r="D699" i="9" s="1"/>
  <c r="AL1" i="5"/>
  <c r="A2" i="9" a="1"/>
  <c r="A2" i="9" s="1"/>
  <c r="AM1" i="5"/>
  <c r="AK1" i="5"/>
  <c r="AJ1" i="5"/>
  <c r="AI1" i="5"/>
  <c r="AH1" i="5"/>
  <c r="AG1" i="5"/>
  <c r="AF1" i="5"/>
  <c r="AE1" i="5"/>
  <c r="AD1" i="5"/>
  <c r="D650" i="9" s="1" a="1"/>
  <c r="D650" i="9" s="1"/>
  <c r="C650" i="9" s="1"/>
  <c r="C651" i="9" s="1"/>
  <c r="C652" i="9" s="1"/>
  <c r="C653" i="9" s="1"/>
  <c r="C654" i="9" s="1"/>
  <c r="C655" i="9" s="1"/>
  <c r="C656" i="9" s="1"/>
  <c r="C657" i="9" s="1"/>
  <c r="C658" i="9" s="1"/>
  <c r="C659" i="9" s="1"/>
  <c r="AC1" i="5"/>
  <c r="D639" i="9" s="1" a="1"/>
  <c r="D639" i="9" s="1"/>
  <c r="C639" i="9" s="1"/>
  <c r="C640" i="9" s="1"/>
  <c r="C641" i="9" s="1"/>
  <c r="C642" i="9" s="1"/>
  <c r="C643" i="9" s="1"/>
  <c r="C644" i="9" s="1"/>
  <c r="C645" i="9" s="1"/>
  <c r="C646" i="9" s="1"/>
  <c r="C647" i="9" s="1"/>
  <c r="C648" i="9" s="1"/>
  <c r="C649" i="9" s="1"/>
  <c r="AB1" i="5"/>
  <c r="AA1" i="5"/>
  <c r="Z1" i="5"/>
  <c r="Y1" i="5"/>
  <c r="B2" i="9" a="1"/>
  <c r="B2" i="9" s="1"/>
  <c r="A74" i="5"/>
  <c r="A72" i="5"/>
  <c r="A70" i="5"/>
  <c r="A68" i="5"/>
  <c r="A66" i="5"/>
  <c r="A64" i="5"/>
  <c r="A62" i="5"/>
  <c r="A60" i="5"/>
  <c r="A58" i="5"/>
  <c r="A56" i="5"/>
  <c r="A54" i="5"/>
  <c r="A52" i="5"/>
  <c r="A50" i="5"/>
  <c r="A48" i="5"/>
  <c r="A46" i="5"/>
  <c r="O1" i="5"/>
  <c r="A26" i="5"/>
  <c r="A4" i="5"/>
  <c r="D627" i="9" l="1" a="1"/>
  <c r="D627" i="9" s="1"/>
  <c r="C627" i="9" s="1"/>
  <c r="E627" i="9" s="1"/>
  <c r="D614" i="9" a="1"/>
  <c r="D614" i="9" s="1"/>
  <c r="D585" i="9" a="1"/>
  <c r="D585" i="9" s="1"/>
  <c r="E585" i="9" s="1"/>
  <c r="D600" i="9" a="1"/>
  <c r="D600" i="9" s="1"/>
  <c r="E614" i="9"/>
  <c r="E704" i="9"/>
  <c r="E646" i="9"/>
  <c r="E648" i="9"/>
  <c r="E647" i="9"/>
  <c r="E644" i="9"/>
  <c r="E643" i="9"/>
  <c r="E642" i="9"/>
  <c r="E641" i="9"/>
  <c r="E640" i="9"/>
  <c r="E645" i="9"/>
  <c r="E649" i="9"/>
  <c r="E701" i="9"/>
  <c r="E700" i="9"/>
  <c r="E696" i="9"/>
  <c r="E693" i="9"/>
  <c r="E692" i="9"/>
  <c r="E691" i="9"/>
  <c r="E675" i="9"/>
  <c r="E674" i="9"/>
  <c r="E670" i="9"/>
  <c r="E673" i="9"/>
  <c r="E672" i="9"/>
  <c r="E676" i="9"/>
  <c r="E671" i="9"/>
  <c r="E661" i="9"/>
  <c r="E658" i="9"/>
  <c r="E656" i="9"/>
  <c r="E654" i="9"/>
  <c r="E653" i="9"/>
  <c r="E652" i="9"/>
  <c r="E659" i="9"/>
  <c r="E657" i="9"/>
  <c r="E655" i="9"/>
  <c r="E651" i="9"/>
  <c r="E702" i="9"/>
  <c r="E666" i="9"/>
  <c r="E683" i="9"/>
  <c r="E703" i="9"/>
  <c r="E667" i="9"/>
  <c r="E682" i="9"/>
  <c r="E664" i="9"/>
  <c r="E694" i="9"/>
  <c r="E668" i="9"/>
  <c r="E698" i="9"/>
  <c r="E665" i="9"/>
  <c r="E681" i="9"/>
  <c r="E663" i="9"/>
  <c r="E697" i="9"/>
  <c r="E680" i="9"/>
  <c r="E662" i="9"/>
  <c r="E689" i="9"/>
  <c r="E677" i="9"/>
  <c r="E600" i="9"/>
  <c r="E669" i="9"/>
  <c r="E684" i="9"/>
  <c r="E699" i="9"/>
  <c r="E639" i="9"/>
  <c r="E690" i="9"/>
  <c r="E650" i="9"/>
  <c r="E660" i="9"/>
  <c r="X1" i="5"/>
  <c r="A44" i="5"/>
  <c r="A2" i="5"/>
  <c r="D1" i="5"/>
  <c r="A6" i="5"/>
  <c r="A8" i="5"/>
  <c r="A10" i="5"/>
  <c r="A12" i="5"/>
  <c r="A14" i="5"/>
  <c r="A16" i="5"/>
  <c r="A18" i="5"/>
  <c r="A20" i="5"/>
  <c r="A22" i="5"/>
  <c r="A24" i="5"/>
  <c r="A28" i="5"/>
  <c r="A30" i="5"/>
  <c r="A32" i="5"/>
  <c r="A34" i="5"/>
  <c r="A36" i="5"/>
  <c r="A38" i="5"/>
  <c r="A40" i="5"/>
  <c r="A42" i="5"/>
  <c r="C628" i="9" l="1"/>
  <c r="C629" i="9"/>
  <c r="E628" i="9"/>
  <c r="E593" i="9"/>
  <c r="E595" i="9"/>
  <c r="E599" i="9"/>
  <c r="E586" i="9"/>
  <c r="E624" i="9"/>
  <c r="E602" i="9"/>
  <c r="E626" i="9"/>
  <c r="E588" i="9"/>
  <c r="E604" i="9"/>
  <c r="E619" i="9"/>
  <c r="E623" i="9"/>
  <c r="E590" i="9"/>
  <c r="E608" i="9"/>
  <c r="E609" i="9"/>
  <c r="E594" i="9"/>
  <c r="E596" i="9"/>
  <c r="E598" i="9"/>
  <c r="E616" i="9"/>
  <c r="E613" i="9"/>
  <c r="E618" i="9"/>
  <c r="E597" i="9"/>
  <c r="E620" i="9"/>
  <c r="E622" i="9"/>
  <c r="E601" i="9"/>
  <c r="E625" i="9"/>
  <c r="E587" i="9"/>
  <c r="E603" i="9"/>
  <c r="E617" i="9"/>
  <c r="E589" i="9"/>
  <c r="E605" i="9"/>
  <c r="E606" i="9"/>
  <c r="E621" i="9"/>
  <c r="E607" i="9"/>
  <c r="E591" i="9"/>
  <c r="E611" i="9"/>
  <c r="E615" i="9"/>
  <c r="E610" i="9"/>
  <c r="E612" i="9"/>
  <c r="E592" i="9"/>
  <c r="D569" i="9" a="1"/>
  <c r="C2" i="9"/>
  <c r="C19" i="9"/>
  <c r="C20" i="9"/>
  <c r="C21" i="9"/>
  <c r="C22" i="9"/>
  <c r="C9" i="9"/>
  <c r="C29" i="9"/>
  <c r="C11" i="9"/>
  <c r="C12" i="9"/>
  <c r="C32" i="9"/>
  <c r="C35" i="9"/>
  <c r="C36" i="9"/>
  <c r="C17" i="9"/>
  <c r="C3" i="9"/>
  <c r="C23" i="9"/>
  <c r="C4" i="9"/>
  <c r="C24" i="9"/>
  <c r="C6" i="9"/>
  <c r="C26" i="9"/>
  <c r="C7" i="9"/>
  <c r="C27" i="9"/>
  <c r="C31" i="9"/>
  <c r="C14" i="9"/>
  <c r="C34" i="9"/>
  <c r="C16" i="9"/>
  <c r="C5" i="9"/>
  <c r="C25" i="9"/>
  <c r="C8" i="9"/>
  <c r="C28" i="9"/>
  <c r="C10" i="9"/>
  <c r="C30" i="9"/>
  <c r="C13" i="9"/>
  <c r="C33" i="9"/>
  <c r="C15" i="9"/>
  <c r="C37" i="9"/>
  <c r="C18" i="9"/>
  <c r="I1" i="5"/>
  <c r="H1" i="5"/>
  <c r="C1" i="5"/>
  <c r="E1" i="5"/>
  <c r="F1" i="5"/>
  <c r="G1" i="5"/>
  <c r="J1" i="5"/>
  <c r="K1" i="5"/>
  <c r="L1" i="5"/>
  <c r="M1" i="5"/>
  <c r="N1" i="5"/>
  <c r="P1" i="5"/>
  <c r="Q1" i="5"/>
  <c r="R1" i="5"/>
  <c r="S1" i="5"/>
  <c r="T1" i="5"/>
  <c r="U1" i="5"/>
  <c r="V1" i="5"/>
  <c r="W1" i="5"/>
  <c r="C630" i="9" l="1"/>
  <c r="E629" i="9"/>
  <c r="D534" i="9" a="1"/>
  <c r="E538" i="9" s="1"/>
  <c r="D240" i="9" a="1"/>
  <c r="E266" i="9" s="1"/>
  <c r="D552" i="9" a="1"/>
  <c r="E561" i="9" s="1"/>
  <c r="D452" i="9" a="1"/>
  <c r="E469" i="9" s="1"/>
  <c r="D75" i="9" a="1"/>
  <c r="E106" i="9" s="1"/>
  <c r="D299" i="9" a="1"/>
  <c r="E306" i="9" s="1"/>
  <c r="D177" i="9" a="1"/>
  <c r="E198" i="9" s="1"/>
  <c r="D474" i="9" a="1"/>
  <c r="E479" i="9" s="1"/>
  <c r="D270" i="9" a="1"/>
  <c r="E276" i="9" s="1"/>
  <c r="D354" i="9" a="1"/>
  <c r="E361" i="9" s="1"/>
  <c r="D380" i="9" a="1"/>
  <c r="E381" i="9" s="1"/>
  <c r="D327" i="9" a="1"/>
  <c r="E340" i="9" s="1"/>
  <c r="D39" i="9" a="1"/>
  <c r="E53" i="9" s="1"/>
  <c r="D515" i="9" a="1"/>
  <c r="E516" i="9" s="1"/>
  <c r="D405" i="9" a="1"/>
  <c r="E422" i="9" s="1"/>
  <c r="D209" i="9" a="1"/>
  <c r="E233" i="9" s="1"/>
  <c r="D110" i="9" a="1"/>
  <c r="E115" i="9" s="1"/>
  <c r="D429" i="9" a="1"/>
  <c r="E432" i="9" s="1"/>
  <c r="D144" i="9" a="1"/>
  <c r="E149" i="9" s="1"/>
  <c r="D495" i="9" a="1"/>
  <c r="E507" i="9" s="1"/>
  <c r="E408" i="9"/>
  <c r="E411" i="9"/>
  <c r="E409" i="9"/>
  <c r="E428" i="9"/>
  <c r="E424" i="9"/>
  <c r="E421" i="9"/>
  <c r="E420" i="9"/>
  <c r="E418" i="9"/>
  <c r="E388" i="9"/>
  <c r="E393" i="9"/>
  <c r="E252" i="9"/>
  <c r="E249" i="9"/>
  <c r="E255" i="9"/>
  <c r="E246" i="9"/>
  <c r="E261" i="9"/>
  <c r="E254" i="9"/>
  <c r="D452" i="9"/>
  <c r="E452" i="9" s="1"/>
  <c r="E459" i="9"/>
  <c r="D569" i="9"/>
  <c r="E569" i="9" s="1"/>
  <c r="E578" i="9"/>
  <c r="E574" i="9"/>
  <c r="E571" i="9"/>
  <c r="E576" i="9"/>
  <c r="E581" i="9"/>
  <c r="E572" i="9"/>
  <c r="E570" i="9"/>
  <c r="E573" i="9"/>
  <c r="E579" i="9"/>
  <c r="E577" i="9"/>
  <c r="E583" i="9"/>
  <c r="E575" i="9"/>
  <c r="E580" i="9"/>
  <c r="E582" i="9"/>
  <c r="E584" i="9"/>
  <c r="D2" i="9" a="1"/>
  <c r="E38" i="9" s="1"/>
  <c r="E256" i="9" l="1"/>
  <c r="E244" i="9"/>
  <c r="E253" i="9"/>
  <c r="E265" i="9"/>
  <c r="E257" i="9"/>
  <c r="E259" i="9"/>
  <c r="E264" i="9"/>
  <c r="E247" i="9"/>
  <c r="E242" i="9"/>
  <c r="E94" i="9"/>
  <c r="E97" i="9"/>
  <c r="E82" i="9"/>
  <c r="E99" i="9"/>
  <c r="E78" i="9"/>
  <c r="E103" i="9"/>
  <c r="E105" i="9"/>
  <c r="E91" i="9"/>
  <c r="E83" i="9"/>
  <c r="E559" i="9"/>
  <c r="D552" i="9"/>
  <c r="E552" i="9" s="1"/>
  <c r="C631" i="9"/>
  <c r="E630" i="9"/>
  <c r="E107" i="9"/>
  <c r="E109" i="9"/>
  <c r="E90" i="9"/>
  <c r="E87" i="9"/>
  <c r="E92" i="9"/>
  <c r="E460" i="9"/>
  <c r="E76" i="9"/>
  <c r="E470" i="9"/>
  <c r="E455" i="9"/>
  <c r="E465" i="9"/>
  <c r="E456" i="9"/>
  <c r="E453" i="9"/>
  <c r="E191" i="9"/>
  <c r="E190" i="9"/>
  <c r="E192" i="9"/>
  <c r="E185" i="9"/>
  <c r="E262" i="9"/>
  <c r="E312" i="9"/>
  <c r="E243" i="9"/>
  <c r="E300" i="9"/>
  <c r="E302" i="9"/>
  <c r="E278" i="9"/>
  <c r="E318" i="9"/>
  <c r="E304" i="9"/>
  <c r="E317" i="9"/>
  <c r="E563" i="9"/>
  <c r="E202" i="9"/>
  <c r="E313" i="9"/>
  <c r="E310" i="9"/>
  <c r="E303" i="9"/>
  <c r="E308" i="9"/>
  <c r="E554" i="9"/>
  <c r="E268" i="9"/>
  <c r="E560" i="9"/>
  <c r="E267" i="9"/>
  <c r="E245" i="9"/>
  <c r="D299" i="9"/>
  <c r="E299" i="9" s="1"/>
  <c r="E260" i="9"/>
  <c r="E466" i="9"/>
  <c r="E241" i="9"/>
  <c r="E536" i="9"/>
  <c r="E539" i="9"/>
  <c r="E548" i="9"/>
  <c r="E549" i="9"/>
  <c r="D534" i="9"/>
  <c r="E534" i="9" s="1"/>
  <c r="E551" i="9"/>
  <c r="E544" i="9"/>
  <c r="E484" i="9"/>
  <c r="E535" i="9"/>
  <c r="E546" i="9"/>
  <c r="E491" i="9"/>
  <c r="E542" i="9"/>
  <c r="E543" i="9"/>
  <c r="E537" i="9"/>
  <c r="E545" i="9"/>
  <c r="E541" i="9"/>
  <c r="E550" i="9"/>
  <c r="E298" i="9"/>
  <c r="E283" i="9"/>
  <c r="E547" i="9"/>
  <c r="E540" i="9"/>
  <c r="E454" i="9"/>
  <c r="E457" i="9"/>
  <c r="E558" i="9"/>
  <c r="E477" i="9"/>
  <c r="E492" i="9"/>
  <c r="E494" i="9"/>
  <c r="E493" i="9"/>
  <c r="E568" i="9"/>
  <c r="E461" i="9"/>
  <c r="E462" i="9"/>
  <c r="E458" i="9"/>
  <c r="E464" i="9"/>
  <c r="E472" i="9"/>
  <c r="E468" i="9"/>
  <c r="E467" i="9"/>
  <c r="D240" i="9"/>
  <c r="E240" i="9" s="1"/>
  <c r="E567" i="9"/>
  <c r="E96" i="9"/>
  <c r="E44" i="9"/>
  <c r="E64" i="9"/>
  <c r="E41" i="9"/>
  <c r="D474" i="9"/>
  <c r="E474" i="9" s="1"/>
  <c r="E332" i="9"/>
  <c r="E248" i="9"/>
  <c r="E101" i="9"/>
  <c r="E208" i="9"/>
  <c r="E180" i="9"/>
  <c r="E183" i="9"/>
  <c r="E60" i="9"/>
  <c r="E330" i="9"/>
  <c r="E181" i="9"/>
  <c r="E88" i="9"/>
  <c r="E346" i="9"/>
  <c r="E79" i="9"/>
  <c r="E344" i="9"/>
  <c r="E81" i="9"/>
  <c r="E338" i="9"/>
  <c r="E269" i="9"/>
  <c r="E102" i="9"/>
  <c r="D327" i="9"/>
  <c r="E327" i="9" s="1"/>
  <c r="E251" i="9"/>
  <c r="E100" i="9"/>
  <c r="E556" i="9"/>
  <c r="E471" i="9"/>
  <c r="E557" i="9"/>
  <c r="E555" i="9"/>
  <c r="E566" i="9"/>
  <c r="E553" i="9"/>
  <c r="E501" i="9"/>
  <c r="E500" i="9"/>
  <c r="E564" i="9"/>
  <c r="E565" i="9"/>
  <c r="E473" i="9"/>
  <c r="E263" i="9"/>
  <c r="E89" i="9"/>
  <c r="E562" i="9"/>
  <c r="E508" i="9"/>
  <c r="E487" i="9"/>
  <c r="E478" i="9"/>
  <c r="E315" i="9"/>
  <c r="E297" i="9"/>
  <c r="E475" i="9"/>
  <c r="E476" i="9"/>
  <c r="E489" i="9"/>
  <c r="E502" i="9"/>
  <c r="E279" i="9"/>
  <c r="E480" i="9"/>
  <c r="E320" i="9"/>
  <c r="E416" i="9"/>
  <c r="E68" i="9"/>
  <c r="E236" i="9"/>
  <c r="E108" i="9"/>
  <c r="E305" i="9"/>
  <c r="E324" i="9"/>
  <c r="E316" i="9"/>
  <c r="E237" i="9"/>
  <c r="E98" i="9"/>
  <c r="E294" i="9"/>
  <c r="E463" i="9"/>
  <c r="E250" i="9"/>
  <c r="E77" i="9"/>
  <c r="E322" i="9"/>
  <c r="E325" i="9"/>
  <c r="E85" i="9"/>
  <c r="E321" i="9"/>
  <c r="E426" i="9"/>
  <c r="E104" i="9"/>
  <c r="E314" i="9"/>
  <c r="E291" i="9"/>
  <c r="E288" i="9"/>
  <c r="E80" i="9"/>
  <c r="D270" i="9"/>
  <c r="E270" i="9" s="1"/>
  <c r="E258" i="9"/>
  <c r="E86" i="9"/>
  <c r="E307" i="9"/>
  <c r="E343" i="9"/>
  <c r="E285" i="9"/>
  <c r="E348" i="9"/>
  <c r="E352" i="9"/>
  <c r="E296" i="9"/>
  <c r="E293" i="9"/>
  <c r="E287" i="9"/>
  <c r="E193" i="9"/>
  <c r="E345" i="9"/>
  <c r="E309" i="9"/>
  <c r="E282" i="9"/>
  <c r="E335" i="9"/>
  <c r="E194" i="9"/>
  <c r="E84" i="9"/>
  <c r="E323" i="9"/>
  <c r="E328" i="9"/>
  <c r="E347" i="9"/>
  <c r="E329" i="9"/>
  <c r="E326" i="9"/>
  <c r="E271" i="9"/>
  <c r="E286" i="9"/>
  <c r="E351" i="9"/>
  <c r="E179" i="9"/>
  <c r="E95" i="9"/>
  <c r="E301" i="9"/>
  <c r="E339" i="9"/>
  <c r="E274" i="9"/>
  <c r="E342" i="9"/>
  <c r="E319" i="9"/>
  <c r="E189" i="9"/>
  <c r="E289" i="9"/>
  <c r="E353" i="9"/>
  <c r="E182" i="9"/>
  <c r="E93" i="9"/>
  <c r="E311" i="9"/>
  <c r="E359" i="9"/>
  <c r="E201" i="9"/>
  <c r="E184" i="9"/>
  <c r="E118" i="9"/>
  <c r="E178" i="9"/>
  <c r="E126" i="9"/>
  <c r="E187" i="9"/>
  <c r="E363" i="9"/>
  <c r="D177" i="9"/>
  <c r="E177" i="9" s="1"/>
  <c r="E505" i="9"/>
  <c r="E379" i="9"/>
  <c r="E153" i="9"/>
  <c r="E509" i="9"/>
  <c r="E358" i="9"/>
  <c r="E166" i="9"/>
  <c r="D75" i="9"/>
  <c r="E75" i="9" s="1"/>
  <c r="E512" i="9"/>
  <c r="E362" i="9"/>
  <c r="E186" i="9"/>
  <c r="E67" i="9"/>
  <c r="E376" i="9"/>
  <c r="E138" i="9"/>
  <c r="E205" i="9"/>
  <c r="E43" i="9"/>
  <c r="E54" i="9"/>
  <c r="E195" i="9"/>
  <c r="E197" i="9"/>
  <c r="E47" i="9"/>
  <c r="E360" i="9"/>
  <c r="E207" i="9"/>
  <c r="E374" i="9"/>
  <c r="E50" i="9"/>
  <c r="E199" i="9"/>
  <c r="E62" i="9"/>
  <c r="E364" i="9"/>
  <c r="E143" i="9"/>
  <c r="E119" i="9"/>
  <c r="E72" i="9"/>
  <c r="E74" i="9"/>
  <c r="E59" i="9"/>
  <c r="E369" i="9"/>
  <c r="E204" i="9"/>
  <c r="E370" i="9"/>
  <c r="E292" i="9"/>
  <c r="E277" i="9"/>
  <c r="E488" i="9"/>
  <c r="E206" i="9"/>
  <c r="E366" i="9"/>
  <c r="E46" i="9"/>
  <c r="E357" i="9"/>
  <c r="E284" i="9"/>
  <c r="E200" i="9"/>
  <c r="E356" i="9"/>
  <c r="E220" i="9"/>
  <c r="E371" i="9"/>
  <c r="D405" i="9"/>
  <c r="E405" i="9" s="1"/>
  <c r="E239" i="9"/>
  <c r="D209" i="9"/>
  <c r="E209" i="9" s="1"/>
  <c r="E531" i="9"/>
  <c r="E368" i="9"/>
  <c r="E530" i="9"/>
  <c r="D354" i="9"/>
  <c r="E354" i="9" s="1"/>
  <c r="E532" i="9"/>
  <c r="E402" i="9"/>
  <c r="E290" i="9"/>
  <c r="E520" i="9"/>
  <c r="E275" i="9"/>
  <c r="D515" i="9"/>
  <c r="E515" i="9" s="1"/>
  <c r="E384" i="9"/>
  <c r="E401" i="9"/>
  <c r="E395" i="9"/>
  <c r="E273" i="9"/>
  <c r="E483" i="9"/>
  <c r="E203" i="9"/>
  <c r="D429" i="9"/>
  <c r="E429" i="9" s="1"/>
  <c r="E387" i="9"/>
  <c r="E533" i="9"/>
  <c r="E272" i="9"/>
  <c r="E403" i="9"/>
  <c r="E281" i="9"/>
  <c r="E482" i="9"/>
  <c r="E188" i="9"/>
  <c r="E55" i="9"/>
  <c r="E389" i="9"/>
  <c r="E518" i="9"/>
  <c r="E280" i="9"/>
  <c r="E295" i="9"/>
  <c r="E481" i="9"/>
  <c r="E196" i="9"/>
  <c r="E61" i="9"/>
  <c r="E396" i="9"/>
  <c r="E527" i="9"/>
  <c r="E485" i="9"/>
  <c r="E392" i="9"/>
  <c r="E486" i="9"/>
  <c r="E490" i="9"/>
  <c r="E40" i="9"/>
  <c r="E386" i="9"/>
  <c r="E112" i="9"/>
  <c r="E135" i="9"/>
  <c r="E413" i="9"/>
  <c r="E168" i="9"/>
  <c r="E66" i="9"/>
  <c r="E123" i="9"/>
  <c r="E399" i="9"/>
  <c r="E410" i="9"/>
  <c r="E514" i="9"/>
  <c r="E169" i="9"/>
  <c r="E71" i="9"/>
  <c r="E116" i="9"/>
  <c r="E407" i="9"/>
  <c r="E151" i="9"/>
  <c r="E160" i="9"/>
  <c r="D110" i="9"/>
  <c r="E110" i="9" s="1"/>
  <c r="E145" i="9"/>
  <c r="E170" i="9"/>
  <c r="E155" i="9"/>
  <c r="E161" i="9"/>
  <c r="E167" i="9"/>
  <c r="E436" i="9"/>
  <c r="E377" i="9"/>
  <c r="E385" i="9"/>
  <c r="E451" i="9"/>
  <c r="E65" i="9"/>
  <c r="E433" i="9"/>
  <c r="E434" i="9"/>
  <c r="E378" i="9"/>
  <c r="E390" i="9"/>
  <c r="E435" i="9"/>
  <c r="E63" i="9"/>
  <c r="E394" i="9"/>
  <c r="E146" i="9"/>
  <c r="E382" i="9"/>
  <c r="E227" i="9"/>
  <c r="E450" i="9"/>
  <c r="E365" i="9"/>
  <c r="E404" i="9"/>
  <c r="E430" i="9"/>
  <c r="E175" i="9"/>
  <c r="E235" i="9"/>
  <c r="E440" i="9"/>
  <c r="E372" i="9"/>
  <c r="E397" i="9"/>
  <c r="E439" i="9"/>
  <c r="E447" i="9"/>
  <c r="E383" i="9"/>
  <c r="E217" i="9"/>
  <c r="E449" i="9"/>
  <c r="E373" i="9"/>
  <c r="E391" i="9"/>
  <c r="E172" i="9"/>
  <c r="E437" i="9"/>
  <c r="E443" i="9"/>
  <c r="E438" i="9"/>
  <c r="E367" i="9"/>
  <c r="E159" i="9"/>
  <c r="E355" i="9"/>
  <c r="E224" i="9"/>
  <c r="E441" i="9"/>
  <c r="E375" i="9"/>
  <c r="E398" i="9"/>
  <c r="E496" i="9"/>
  <c r="E130" i="9"/>
  <c r="E148" i="9"/>
  <c r="E504" i="9"/>
  <c r="E139" i="9"/>
  <c r="E406" i="9"/>
  <c r="E215" i="9"/>
  <c r="E513" i="9"/>
  <c r="E122" i="9"/>
  <c r="E510" i="9"/>
  <c r="E526" i="9"/>
  <c r="E56" i="9"/>
  <c r="E349" i="9"/>
  <c r="E230" i="9"/>
  <c r="E529" i="9"/>
  <c r="E52" i="9"/>
  <c r="E70" i="9"/>
  <c r="E140" i="9"/>
  <c r="E400" i="9"/>
  <c r="E498" i="9"/>
  <c r="E117" i="9"/>
  <c r="E225" i="9"/>
  <c r="E228" i="9"/>
  <c r="E525" i="9"/>
  <c r="E124" i="9"/>
  <c r="E341" i="9"/>
  <c r="E521" i="9"/>
  <c r="E333" i="9"/>
  <c r="E219" i="9"/>
  <c r="E519" i="9"/>
  <c r="E48" i="9"/>
  <c r="D39" i="9"/>
  <c r="E39" i="9" s="1"/>
  <c r="E129" i="9"/>
  <c r="D380" i="9"/>
  <c r="E380" i="9" s="1"/>
  <c r="D495" i="9"/>
  <c r="E495" i="9" s="1"/>
  <c r="E125" i="9"/>
  <c r="E223" i="9"/>
  <c r="E137" i="9"/>
  <c r="E350" i="9"/>
  <c r="E214" i="9"/>
  <c r="E528" i="9"/>
  <c r="E49" i="9"/>
  <c r="E121" i="9"/>
  <c r="E412" i="9"/>
  <c r="E503" i="9"/>
  <c r="E141" i="9"/>
  <c r="E218" i="9"/>
  <c r="E120" i="9"/>
  <c r="E73" i="9"/>
  <c r="E114" i="9"/>
  <c r="E216" i="9"/>
  <c r="E42" i="9"/>
  <c r="E334" i="9"/>
  <c r="E211" i="9"/>
  <c r="E517" i="9"/>
  <c r="E57" i="9"/>
  <c r="E111" i="9"/>
  <c r="E414" i="9"/>
  <c r="E523" i="9"/>
  <c r="E336" i="9"/>
  <c r="E221" i="9"/>
  <c r="E522" i="9"/>
  <c r="E45" i="9"/>
  <c r="E127" i="9"/>
  <c r="E423" i="9"/>
  <c r="E238" i="9"/>
  <c r="E337" i="9"/>
  <c r="E58" i="9"/>
  <c r="E136" i="9"/>
  <c r="E331" i="9"/>
  <c r="E171" i="9"/>
  <c r="E226" i="9"/>
  <c r="E524" i="9"/>
  <c r="E51" i="9"/>
  <c r="E142" i="9"/>
  <c r="E427" i="9"/>
  <c r="E229" i="9"/>
  <c r="E69" i="9"/>
  <c r="E152" i="9"/>
  <c r="E231" i="9"/>
  <c r="E131" i="9"/>
  <c r="E419" i="9"/>
  <c r="E150" i="9"/>
  <c r="E431" i="9"/>
  <c r="E158" i="9"/>
  <c r="E445" i="9"/>
  <c r="E174" i="9"/>
  <c r="E232" i="9"/>
  <c r="E442" i="9"/>
  <c r="E134" i="9"/>
  <c r="E415" i="9"/>
  <c r="E163" i="9"/>
  <c r="D144" i="9"/>
  <c r="E144" i="9" s="1"/>
  <c r="E157" i="9"/>
  <c r="E213" i="9"/>
  <c r="E147" i="9"/>
  <c r="E210" i="9"/>
  <c r="E497" i="9"/>
  <c r="E113" i="9"/>
  <c r="E164" i="9"/>
  <c r="E234" i="9"/>
  <c r="E511" i="9"/>
  <c r="E444" i="9"/>
  <c r="E133" i="9"/>
  <c r="E162" i="9"/>
  <c r="E212" i="9"/>
  <c r="E506" i="9"/>
  <c r="E448" i="9"/>
  <c r="E128" i="9"/>
  <c r="E425" i="9"/>
  <c r="E173" i="9"/>
  <c r="E176" i="9"/>
  <c r="E156" i="9"/>
  <c r="E222" i="9"/>
  <c r="E499" i="9"/>
  <c r="E446" i="9"/>
  <c r="E132" i="9"/>
  <c r="E417" i="9"/>
  <c r="E154" i="9"/>
  <c r="E165" i="9"/>
  <c r="D2" i="9"/>
  <c r="E2" i="9" s="1"/>
  <c r="E37" i="9"/>
  <c r="E35" i="9"/>
  <c r="E25" i="9"/>
  <c r="E17" i="9"/>
  <c r="E22" i="9"/>
  <c r="E24" i="9"/>
  <c r="E6" i="9"/>
  <c r="E7" i="9"/>
  <c r="E5" i="9"/>
  <c r="E16" i="9"/>
  <c r="E10" i="9"/>
  <c r="E21" i="9"/>
  <c r="E32" i="9"/>
  <c r="E27" i="9"/>
  <c r="E23" i="9"/>
  <c r="E3" i="9"/>
  <c r="E34" i="9"/>
  <c r="E11" i="9"/>
  <c r="E26" i="9"/>
  <c r="E30" i="9"/>
  <c r="E15" i="9"/>
  <c r="E31" i="9"/>
  <c r="E18" i="9"/>
  <c r="E13" i="9"/>
  <c r="E19" i="9"/>
  <c r="E28" i="9"/>
  <c r="E4" i="9"/>
  <c r="E14" i="9"/>
  <c r="E29" i="9"/>
  <c r="E36" i="9"/>
  <c r="E33" i="9"/>
  <c r="E12" i="9"/>
  <c r="E20" i="9"/>
  <c r="E9" i="9"/>
  <c r="E8" i="9"/>
  <c r="C632" i="9" l="1"/>
  <c r="E631" i="9"/>
  <c r="C633" i="9" l="1"/>
  <c r="E632" i="9"/>
  <c r="C634" i="9" l="1"/>
  <c r="E633" i="9"/>
  <c r="C635" i="9" l="1"/>
  <c r="E634" i="9"/>
  <c r="C636" i="9" l="1"/>
  <c r="E635" i="9"/>
  <c r="C637" i="9" l="1"/>
  <c r="E636" i="9"/>
  <c r="C638" i="9" l="1"/>
  <c r="E638" i="9" s="1"/>
  <c r="E63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<sst xmlns="http://schemas.openxmlformats.org/spreadsheetml/2006/main" count="1584" uniqueCount="200">
  <si>
    <t>Table 15, NZS4219:2009</t>
  </si>
  <si>
    <t>Minimum Clearances (mm)</t>
  </si>
  <si>
    <t>Condition - Being Considered</t>
  </si>
  <si>
    <t>Horizontal</t>
  </si>
  <si>
    <t>Vertical</t>
  </si>
  <si>
    <t>Unrestained components to unrestained components</t>
  </si>
  <si>
    <t>Unrestained components to restained components</t>
  </si>
  <si>
    <t>Restained components to restained components</t>
  </si>
  <si>
    <t>Penetration through structure (such as walls and floors)</t>
  </si>
  <si>
    <t>Note: Ceiling hangers and braces are considered to be restrained components for the purpose of this table</t>
  </si>
  <si>
    <t>Notes:</t>
  </si>
  <si>
    <t>Rigid ductwork, where the hanger length from the top of the duct to the structure support exceeds 200mm shall be restrained against seismic forces.</t>
  </si>
  <si>
    <t>Pipework exceeding 50mm in diameter and located more than 150mm from the structural support shall be laterally braced. The spacing of transverse and longitudinal bracing shall be in accordance with nzs 4219, section 3.6.</t>
  </si>
  <si>
    <t>Equipment within the ceiling exceeding 10kg mass shall be independently fixed and braced to the structure and separated from the ceiling by 25mm all around to allow for independent movement between equipment and ceiling</t>
  </si>
  <si>
    <t>Clearance of services at all penetrations through structure or partition walls shall be 12mm for ductwork, 15mm for pipework and 25mm for cable tray. All services shall be restrained at penetrations through structure and partition walls. The design engineer of the structure / partition walls shall ensure the structure / partition walls shall be capable of resisting lateral seismic load imposed on it due to restraint provided at the penetrations</t>
  </si>
  <si>
    <t>Piping systems (NZS 4219, Section 5.8)</t>
  </si>
  <si>
    <t>Ducting (Section 5.9)</t>
  </si>
  <si>
    <t>Suspended equipment (Section 5.13)</t>
  </si>
  <si>
    <t>Floor-mounted components (Section 3.7)</t>
  </si>
  <si>
    <t>Physical interference: Ensure that seismic restraints, such as braces or fixings, do not interfere with the routing of pipes or ducts.</t>
  </si>
  <si>
    <t>Clearance and access: Check that adequate clearances are maintained around seismic restraints and that access for maintenance or inspection remains unimpeded (as per Section 5.15 for plinths and clearances).</t>
  </si>
  <si>
    <t>Load path conflicts: Ensure the load paths for seismic restraints are clear and do not intersect with other building systems, as per the requirements in Section 2 (General Requirements)</t>
  </si>
  <si>
    <t>No.</t>
  </si>
  <si>
    <t>Discipline</t>
  </si>
  <si>
    <t>Comment</t>
  </si>
  <si>
    <t>01</t>
  </si>
  <si>
    <t>Architecture</t>
  </si>
  <si>
    <t>Architectural Columns*</t>
  </si>
  <si>
    <t>Architectural might include column element, worth checking the column locations vs Structural columns'</t>
  </si>
  <si>
    <t>Ceiling</t>
  </si>
  <si>
    <t>Doors*</t>
  </si>
  <si>
    <t>Need to considering modelling clearence zone aronud door. If not, the services walkway clerance zone to be modelling</t>
  </si>
  <si>
    <t>Generic Model &amp; Casework*</t>
  </si>
  <si>
    <t>Contain Seismic modelling. Further note. BEP to be clearly define the modelling practice. All Casework and generic modelling to be defined clearlly with workset. Including Lift door openings, channel drain</t>
  </si>
  <si>
    <t>Roof</t>
  </si>
  <si>
    <t>Windows</t>
  </si>
  <si>
    <t>Special Items Services walk ways</t>
  </si>
  <si>
    <t>Services walkway to be model if the consultant models have not included</t>
  </si>
  <si>
    <t>Special Items Accessible Walk Path</t>
  </si>
  <si>
    <t>ie, Fire Escaping Path</t>
  </si>
  <si>
    <t>Access Panel</t>
  </si>
  <si>
    <t>fitting access point ie, ceiling access panel</t>
  </si>
  <si>
    <t xml:space="preserve">Lighting Fixtures </t>
  </si>
  <si>
    <t>Plumbing Fixtures</t>
  </si>
  <si>
    <t>02</t>
  </si>
  <si>
    <t>Seismic Elements</t>
  </si>
  <si>
    <t>Structural - Concrete work Excluding Floor Slab</t>
  </si>
  <si>
    <t>Structural - Steelwork (Bracing and Columns)</t>
  </si>
  <si>
    <t>STR Floor</t>
  </si>
  <si>
    <t>Structural Floor</t>
  </si>
  <si>
    <t>03</t>
  </si>
  <si>
    <t>Pipe, Accessories and Fittings - HOT AND COLD (Excl Flexi and Insulated)</t>
  </si>
  <si>
    <t>04</t>
  </si>
  <si>
    <t>Air Terminals</t>
  </si>
  <si>
    <t>Mechanical Equipment</t>
  </si>
  <si>
    <t>05</t>
  </si>
  <si>
    <t>Cable Tray, Fittings</t>
  </si>
  <si>
    <t>Underground conduit to inground foundation beam</t>
  </si>
  <si>
    <t>Electrical Equipment</t>
  </si>
  <si>
    <t>Fire Device, Comms Devices, Security Devices, Electrical, Lighting Switches, Nurse Devices &amp; Electrical Fixture*</t>
  </si>
  <si>
    <t>The items are categories as small face based fixtures. Suggest to use Tag to identify who need to assign to.</t>
  </si>
  <si>
    <t>06</t>
  </si>
  <si>
    <t>Sprinklers Heads</t>
  </si>
  <si>
    <t xml:space="preserve">                                                                                                                                   
Selection A (A)</t>
  </si>
  <si>
    <t>Selection  (B)</t>
  </si>
  <si>
    <t>HC</t>
  </si>
  <si>
    <t>C50</t>
  </si>
  <si>
    <t>Clash Task Priority</t>
  </si>
  <si>
    <t>Selection A</t>
  </si>
  <si>
    <t>Selection B</t>
  </si>
  <si>
    <t>MA (Major)</t>
  </si>
  <si>
    <t>NL Clash Matrix Legend</t>
  </si>
  <si>
    <t>Clash Status</t>
  </si>
  <si>
    <t>Description</t>
  </si>
  <si>
    <t>Blocker</t>
  </si>
  <si>
    <t xml:space="preserve">The clash to be raised and assigned to either the lead consultant or BIM partners. </t>
  </si>
  <si>
    <t>CR (Critical)</t>
  </si>
  <si>
    <t xml:space="preserve">Clash classified as Major, but can be resolved during construction. </t>
  </si>
  <si>
    <t>Pipework &gt; 50mm is graded as a Major Priority, &lt; 50mm is graded as a Minor Priority in Revizto Clash Automation.</t>
  </si>
  <si>
    <t>Mi (Minor)</t>
  </si>
  <si>
    <t xml:space="preserve">Clash classified as Minor, but can be resolved during construction. </t>
  </si>
  <si>
    <t>Trivial</t>
  </si>
  <si>
    <t>False positive. Not a real clash, can be ignore during clashing (Flex pipes...)</t>
  </si>
  <si>
    <t xml:space="preserve">Clearance set 50mm </t>
  </si>
  <si>
    <t>Hard Clash, 0mm Tolerance</t>
  </si>
  <si>
    <t>Flexbile</t>
  </si>
  <si>
    <t>Structure</t>
  </si>
  <si>
    <t>Gravity Pipework</t>
  </si>
  <si>
    <t>Mechanical</t>
  </si>
  <si>
    <t>Electrical</t>
  </si>
  <si>
    <t>Fire</t>
  </si>
  <si>
    <t>More Flexible</t>
  </si>
  <si>
    <t>Final procurement schedule to be checked to confirm the installation clearance and requirement. 1. Secondary frame packing 2. pipe feeds location</t>
  </si>
  <si>
    <t>Final procurement schedule to be checked to confirm the installation clearance</t>
  </si>
  <si>
    <t>The final procurement schedule should be reviewed to verify installation clearances and ensure the allowed product depth.</t>
  </si>
  <si>
    <t>Valves</t>
  </si>
  <si>
    <t xml:space="preserve">Services Lighting Fixtures </t>
  </si>
  <si>
    <t>Structural</t>
  </si>
  <si>
    <t>Services - Plumbing and Drainage</t>
  </si>
  <si>
    <t>Services - Mechanical</t>
  </si>
  <si>
    <t>Services - Electrical</t>
  </si>
  <si>
    <t>Services - Fire</t>
  </si>
  <si>
    <t>STR_Seismic Elements</t>
  </si>
  <si>
    <t>STR_Conc work Excl Floor Slab</t>
  </si>
  <si>
    <t>STR_Steelwork (Bracing and Columns)</t>
  </si>
  <si>
    <t>MEC_Air Terminals</t>
  </si>
  <si>
    <t>ARC_Columns*</t>
  </si>
  <si>
    <t>ARC_Ceiling</t>
  </si>
  <si>
    <t>ARC_Doors*</t>
  </si>
  <si>
    <t>ARC_Gen Model &amp; Casework*</t>
  </si>
  <si>
    <t>ARC_Roof</t>
  </si>
  <si>
    <t>ARC_Windows</t>
  </si>
  <si>
    <t>ARC_Services Walkway</t>
  </si>
  <si>
    <t>ARC_Accessible Path</t>
  </si>
  <si>
    <t>ARC_Plumbing Fixtures</t>
  </si>
  <si>
    <t>ELE_Cable Tray and Fittings</t>
  </si>
  <si>
    <t>ELE_Electrical Equip.</t>
  </si>
  <si>
    <t>ELE_Small Devices</t>
  </si>
  <si>
    <t>FIR_Fire Pipes</t>
  </si>
  <si>
    <t>FIR_Sprinklers Heads</t>
  </si>
  <si>
    <t>Full Description</t>
  </si>
  <si>
    <t>T1</t>
  </si>
  <si>
    <t>T2</t>
  </si>
  <si>
    <t>T3</t>
  </si>
  <si>
    <t>T4</t>
  </si>
  <si>
    <t>Clash Task Category</t>
  </si>
  <si>
    <t>Clash Task Name</t>
  </si>
  <si>
    <t>ELE_Services Lighting Fixtures</t>
  </si>
  <si>
    <t>ARC_Lighting Fixtures</t>
  </si>
  <si>
    <t xml:space="preserve">Clash Task Scope #4 as per project timeline. </t>
  </si>
  <si>
    <t>TIPS:</t>
  </si>
  <si>
    <r>
      <rPr>
        <b/>
        <sz val="11"/>
        <color theme="1"/>
        <rFont val="Calibri"/>
        <family val="2"/>
        <scheme val="minor"/>
      </rPr>
      <t>Selection B</t>
    </r>
    <r>
      <rPr>
        <sz val="11"/>
        <color theme="1"/>
        <rFont val="Calibri"/>
        <family val="2"/>
        <scheme val="minor"/>
      </rPr>
      <t xml:space="preserve"> list of</t>
    </r>
    <r>
      <rPr>
        <b/>
        <sz val="11"/>
        <color theme="1"/>
        <rFont val="Calibri"/>
        <family val="2"/>
        <scheme val="minor"/>
      </rPr>
      <t xml:space="preserve"> Items Categories</t>
    </r>
  </si>
  <si>
    <r>
      <t xml:space="preserve">Selection A </t>
    </r>
    <r>
      <rPr>
        <sz val="11"/>
        <color theme="1"/>
        <rFont val="Calibri"/>
        <family val="2"/>
        <scheme val="minor"/>
      </rPr>
      <t>list of</t>
    </r>
    <r>
      <rPr>
        <b/>
        <sz val="11"/>
        <color theme="1"/>
        <rFont val="Calibri"/>
        <family val="2"/>
        <scheme val="minor"/>
      </rPr>
      <t xml:space="preserve"> Items Categories</t>
    </r>
  </si>
  <si>
    <t>1. This matrix is a micro clash detection matrix intended to reduce the number of false positives and increase confidence in clash results, leading to pathways to automate the process of digital coordination.</t>
  </si>
  <si>
    <r>
      <t xml:space="preserve">Start with the </t>
    </r>
    <r>
      <rPr>
        <b/>
        <sz val="11"/>
        <color theme="1"/>
        <rFont val="Calibri"/>
        <family val="2"/>
        <scheme val="minor"/>
      </rPr>
      <t xml:space="preserve">Clash Matrix </t>
    </r>
    <r>
      <rPr>
        <sz val="11"/>
        <color theme="1"/>
        <rFont val="Calibri"/>
        <family val="2"/>
        <scheme val="minor"/>
      </rPr>
      <t xml:space="preserve">and refer back to the </t>
    </r>
    <r>
      <rPr>
        <b/>
        <sz val="11"/>
        <color theme="1"/>
        <rFont val="Calibri"/>
        <family val="2"/>
        <scheme val="minor"/>
      </rPr>
      <t xml:space="preserve">Clash Matrix Legend </t>
    </r>
  </si>
  <si>
    <r>
      <t xml:space="preserve">Use the </t>
    </r>
    <r>
      <rPr>
        <b/>
        <sz val="11"/>
        <color theme="1"/>
        <rFont val="Calibri"/>
        <family val="2"/>
        <scheme val="minor"/>
      </rPr>
      <t>Clash Task (Output)</t>
    </r>
    <r>
      <rPr>
        <sz val="11"/>
        <color theme="1"/>
        <rFont val="Calibri"/>
        <family val="2"/>
        <scheme val="minor"/>
      </rPr>
      <t xml:space="preserve"> to filter by task priority and copy the associated task into the coordination software (such as Revizto)</t>
    </r>
  </si>
  <si>
    <t>4. Workflow:</t>
  </si>
  <si>
    <t>2. This matrix is to be used by Services teams and Project Managers to instruct the BIM team to prioritise and execute clash detection tasks.</t>
  </si>
  <si>
    <t>3. Matrix snapshot and explanation:</t>
  </si>
  <si>
    <t>Clearance factors - refer to Clash Matrix Legend</t>
  </si>
  <si>
    <t>Clash Task Priority - refer to Clash Matrix Legend</t>
  </si>
  <si>
    <t>Clearance Matrix Legend</t>
  </si>
  <si>
    <t>Vertical and Horizontal Clearance</t>
  </si>
  <si>
    <t>For example:
Seismic
Secondary framing 
Accessible pathway</t>
  </si>
  <si>
    <t xml:space="preserve">Clash Task Scope #2 as per project timeline. </t>
  </si>
  <si>
    <t xml:space="preserve">Clash Task Scope #1 
BIM team to be briefed what's the first major clash tasks to be done as per project timeline. </t>
  </si>
  <si>
    <t xml:space="preserve">Clash Task Scope #3 as per project timeline. </t>
  </si>
  <si>
    <t>ELE_Conduit*</t>
  </si>
  <si>
    <t>Conduit*</t>
  </si>
  <si>
    <t>Clearance</t>
  </si>
  <si>
    <t>C100V</t>
  </si>
  <si>
    <t>C150V</t>
  </si>
  <si>
    <t>Clearance set 100mm vertical only, Horizontal 50mm as default</t>
  </si>
  <si>
    <t>Clearance set (150mm) vertical only Horizontal 50mm as default</t>
  </si>
  <si>
    <t>Pipe, Accessories and Fittings - FIRE- (Including Flexi and Insulated)</t>
  </si>
  <si>
    <t>C600V</t>
  </si>
  <si>
    <t>CXXXV</t>
  </si>
  <si>
    <t>Clearance set (project Specific) vertical only Horizontal 50mm as default</t>
  </si>
  <si>
    <t>ARC_SOG Floor Insulation</t>
  </si>
  <si>
    <t>Slab on Grade Insulation</t>
  </si>
  <si>
    <t>Sometimes, the structural model does not show the insulation and barely identifies any service clashes that could affect the slab buildup</t>
  </si>
  <si>
    <t xml:space="preserve">Services - Fire </t>
  </si>
  <si>
    <t>FIR_Heat or Smoke Detectors</t>
  </si>
  <si>
    <t>Fire Heating or Smoke Detectors</t>
  </si>
  <si>
    <t>C1500</t>
  </si>
  <si>
    <t>[Imporntant]</t>
  </si>
  <si>
    <t>After updating the clash matrix, please click 'Refresh All'are refreshed under the 'Clash Task Output' section</t>
  </si>
  <si>
    <t>For example:
Concrete work
Underground Drainage Work
Civil
Steel work</t>
  </si>
  <si>
    <t>For example:
Services walkway
Access panel 
Fire rated timber framed wall
Fire Damper
Ceiling
Pipework Above Ground
Duct work Above Ground</t>
  </si>
  <si>
    <t>Element Name</t>
  </si>
  <si>
    <t>HYD_Uninsulated Pipes</t>
  </si>
  <si>
    <t>Pipe, Accessories and Fittings - HYD (Including Flexi and UnInsulated)</t>
  </si>
  <si>
    <t>Uninsulated Duct, accessories and Duct Fittings (Excl Flexi)</t>
  </si>
  <si>
    <t>MEC_Equipment</t>
  </si>
  <si>
    <t>Insulated Pipe, Accessories and Fittings</t>
  </si>
  <si>
    <t>Uninsulated Pipe, Accessories and Fittings</t>
  </si>
  <si>
    <t>C150</t>
  </si>
  <si>
    <t>HYD_Plumbing Fixture</t>
  </si>
  <si>
    <t>HYD_ Plumbing Fixture</t>
  </si>
  <si>
    <t>Services</t>
  </si>
  <si>
    <t>SRV_Access Panel</t>
  </si>
  <si>
    <t>T5</t>
  </si>
  <si>
    <t>Additional Task outside template</t>
  </si>
  <si>
    <t>Pipe Insulation only</t>
  </si>
  <si>
    <t>HYD_Pipe Insulation</t>
  </si>
  <si>
    <t>HYD_Hot and Cold Insulation</t>
  </si>
  <si>
    <t>Pipe Insulation Only</t>
  </si>
  <si>
    <t>HYD_Uninsulated Hot and Cold Pipes and Acc</t>
  </si>
  <si>
    <t>HYD_Uninsulated Pipes and Acc</t>
  </si>
  <si>
    <t>MEC_Duct Insulation</t>
  </si>
  <si>
    <t>Duct Insulation</t>
  </si>
  <si>
    <t>MEC_Pipe Insulation</t>
  </si>
  <si>
    <t>MEC_Uninsulated Duct and Acc</t>
  </si>
  <si>
    <t>MEC_Uninsulated Pipes and Acc</t>
  </si>
  <si>
    <t>MEC_Uninulated Flexi duct</t>
  </si>
  <si>
    <t>Flexi Ducts with no insulation</t>
  </si>
  <si>
    <t>ARC_Fire &amp; Acoustic Wall</t>
  </si>
  <si>
    <t>Steel &amp; Timber Framed Walls (Fire &amp; Acoustic Wall)</t>
  </si>
  <si>
    <t>For example:
Fitout</t>
  </si>
  <si>
    <t>Required manual added onto Revizto Clash Automation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</si>
</sst>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sz val="11"/>
      <color theme="1"/>
      <name val="Calibri"/>
      <family val="2"/>
    </font>
    <font>
      <b/>
      <sz val="11"/>
      <color rgb="FFFF0000"/>
      <name val="Calibri"/>
      <family val="2"/>
      <scheme val="minor"/>
    </font>
    <font>
      <b/>
      <sz val="11"/>
      <color theme="4" tint="-0.249977111117893"/>
      <name val="Calibri"/>
      <family val="2"/>
      <scheme val="minor"/>
    </font>
    <font>
      <b/>
      <sz val="11"/>
      <color theme="9" tint="-0.249977111117893"/>
      <name val="Calibri"/>
      <family val="2"/>
      <scheme val="minor"/>
    </font>
    <font>
      <b/>
      <sz val="11"/>
      <color theme="1"/>
      <name val="Calibri"/>
      <family val="2"/>
    </font>
    <font>
      <sz val="8"/>
      <name val="Calibri"/>
      <family val="2"/>
      <scheme val="minor"/>
    </font>
    <font>
      <b/>
      <sz val="11"/>
      <color rgb="FF66FFFF"/>
      <name val="Calibri"/>
      <family val="2"/>
      <scheme val="minor"/>
    </font>
    <font>
      <b/>
      <sz val="11"/>
      <color rgb="FFC00000"/>
      <name val="Calibri"/>
      <family val="2"/>
      <scheme val="minor"/>
    </font>
    <font>
      <b/>
      <sz val="11"/>
      <color theme="0"/>
      <name val="Calibri"/>
      <family val="2"/>
      <scheme val="minor"/>
    </font>
    <font>
      <b/>
      <sz val="11"/>
      <name val="Calibri"/>
      <family val="2"/>
      <scheme val="minor"/>
    </font>
    <font>
      <i/>
      <sz val="9"/>
      <color theme="9" tint="-0.249977111117893"/>
      <name val="Calibri"/>
      <family val="2"/>
      <scheme val="minor"/>
    </font>
    <font>
      <sz val="10"/>
      <color theme="1"/>
      <name val="Calibri"/>
      <family val="2"/>
      <scheme val="minor"/>
    </font>
    <font>
      <b/>
      <sz val="11"/>
      <name val="Calibri"/>
      <family val="2"/>
    </font>
  </fonts>
  <fills count="11">
    <fill>
      <patternFill patternType="none"/>
    </fill>
    <fill>
      <patternFill patternType="gray125"/>
    </fill>
    <fill>
      <patternFill patternType="solid">
        <fgColor theme="0" tint="-0.249977111117893"/>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8" tint="-0.49998474074526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rgb="FFFFFF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bottom/>
      <diagonal/>
    </border>
  </borders>
  <cellStyleXfs count="1">
    <xf numFmtId="0" fontId="0" fillId="0" borderId="0"/>
  </cellStyleXfs>
  <cellXfs count="106">
    <xf numFmtId="0" fontId="0" fillId="0" borderId="0" xfId="0"/>
    <xf numFmtId="0" fontId="2" fillId="0" borderId="0" xfId="0" applyFont="1"/>
    <xf numFmtId="0" fontId="1" fillId="0" borderId="0" xfId="0" applyFont="1"/>
    <xf numFmtId="0" fontId="1" fillId="2" borderId="0" xfId="0" applyFont="1" applyFill="1"/>
    <xf numFmtId="0" fontId="1" fillId="0" borderId="1" xfId="0" applyFont="1" applyBorder="1"/>
    <xf numFmtId="0" fontId="0" fillId="0" borderId="1" xfId="0" applyBorder="1"/>
    <xf numFmtId="0" fontId="0" fillId="0" borderId="1" xfId="0" applyBorder="1" applyAlignment="1">
      <alignment wrapText="1"/>
    </xf>
    <xf numFmtId="0" fontId="3" fillId="0" borderId="1" xfId="0" applyFont="1" applyBorder="1"/>
    <xf numFmtId="0" fontId="4" fillId="0" borderId="1" xfId="0" applyFont="1" applyBorder="1"/>
    <xf numFmtId="0" fontId="5" fillId="0" borderId="1" xfId="0" applyFont="1" applyBorder="1"/>
    <xf numFmtId="0" fontId="0" fillId="0" borderId="0" xfId="0" applyAlignment="1">
      <alignment wrapText="1"/>
    </xf>
    <xf numFmtId="0" fontId="1" fillId="2" borderId="1" xfId="0" applyFont="1" applyFill="1" applyBorder="1"/>
    <xf numFmtId="0" fontId="1" fillId="0" borderId="1" xfId="0" applyFont="1" applyBorder="1" applyAlignment="1">
      <alignment horizontal="center"/>
    </xf>
    <xf numFmtId="0" fontId="0" fillId="0" borderId="0" xfId="0" applyAlignment="1">
      <alignment horizontal="left" vertical="top" wrapText="1"/>
    </xf>
    <xf numFmtId="0" fontId="1" fillId="0" borderId="0" xfId="0" applyFont="1" applyAlignment="1">
      <alignment wrapText="1"/>
    </xf>
    <xf numFmtId="0" fontId="0" fillId="0" borderId="0" xfId="0" applyAlignment="1">
      <alignment vertical="top" wrapText="1"/>
    </xf>
    <xf numFmtId="0" fontId="3" fillId="0" borderId="2" xfId="0" applyFont="1" applyBorder="1" applyAlignment="1">
      <alignment horizontal="left" wrapText="1"/>
    </xf>
    <xf numFmtId="0" fontId="8" fillId="0" borderId="1" xfId="0" applyFont="1" applyBorder="1"/>
    <xf numFmtId="0" fontId="0" fillId="0" borderId="2" xfId="0" applyBorder="1" applyAlignment="1">
      <alignment wrapText="1"/>
    </xf>
    <xf numFmtId="0" fontId="0" fillId="0" borderId="1" xfId="0" applyBorder="1" applyAlignment="1">
      <alignment horizontal="left" vertical="center" wrapText="1"/>
    </xf>
    <xf numFmtId="0" fontId="9" fillId="0" borderId="0" xfId="0" applyFont="1"/>
    <xf numFmtId="0" fontId="2" fillId="0" borderId="0" xfId="0" applyFont="1" applyAlignment="1">
      <alignment wrapText="1"/>
    </xf>
    <xf numFmtId="0" fontId="2" fillId="0" borderId="0" xfId="0" applyFont="1" applyAlignment="1">
      <alignment horizontal="left" vertical="center" wrapText="1"/>
    </xf>
    <xf numFmtId="0" fontId="10" fillId="5" borderId="1" xfId="0" applyFont="1" applyFill="1" applyBorder="1"/>
    <xf numFmtId="0" fontId="11" fillId="3" borderId="1" xfId="0" applyFont="1" applyFill="1" applyBorder="1"/>
    <xf numFmtId="0" fontId="11" fillId="4" borderId="1" xfId="0" applyFont="1" applyFill="1" applyBorder="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0" fillId="0" borderId="1" xfId="0" applyFont="1" applyBorder="1" applyAlignment="1">
      <alignment horizontal="center" vertical="center"/>
    </xf>
    <xf numFmtId="0" fontId="10" fillId="0" borderId="2" xfId="0" applyFont="1" applyBorder="1" applyAlignment="1">
      <alignment horizontal="center" vertical="center"/>
    </xf>
    <xf numFmtId="0" fontId="1" fillId="0" borderId="3" xfId="0" applyFont="1" applyBorder="1" applyAlignment="1">
      <alignment horizontal="center" vertical="center"/>
    </xf>
    <xf numFmtId="0" fontId="10" fillId="0" borderId="3" xfId="0" applyFont="1" applyBorder="1" applyAlignment="1">
      <alignment horizontal="center" vertical="center"/>
    </xf>
    <xf numFmtId="0" fontId="1" fillId="0" borderId="9" xfId="0" applyFont="1" applyBorder="1" applyAlignment="1">
      <alignment horizontal="center" vertical="center"/>
    </xf>
    <xf numFmtId="0" fontId="10" fillId="0" borderId="4" xfId="0" applyFont="1" applyBorder="1" applyAlignment="1">
      <alignment horizontal="center" vertical="center"/>
    </xf>
    <xf numFmtId="0" fontId="10" fillId="0" borderId="9" xfId="0" applyFont="1" applyBorder="1" applyAlignment="1">
      <alignment horizontal="center" vertical="center"/>
    </xf>
    <xf numFmtId="0" fontId="1" fillId="0" borderId="10" xfId="0" applyFont="1" applyBorder="1" applyAlignment="1">
      <alignment horizontal="center" vertical="center"/>
    </xf>
    <xf numFmtId="0" fontId="10" fillId="0" borderId="10" xfId="0" applyFont="1" applyBorder="1" applyAlignment="1">
      <alignment horizontal="center" vertical="center"/>
    </xf>
    <xf numFmtId="0" fontId="0" fillId="0" borderId="0" xfId="0" applyAlignment="1">
      <alignment horizontal="left" vertical="center" wrapText="1"/>
    </xf>
    <xf numFmtId="0" fontId="6" fillId="0" borderId="8" xfId="0" applyFont="1" applyBorder="1" applyAlignment="1">
      <alignment vertical="center" wrapText="1"/>
    </xf>
    <xf numFmtId="0" fontId="6" fillId="0" borderId="0" xfId="0" applyFont="1" applyAlignment="1">
      <alignment vertical="center" wrapText="1"/>
    </xf>
    <xf numFmtId="0" fontId="1" fillId="0" borderId="7" xfId="0" applyFont="1" applyBorder="1" applyAlignment="1">
      <alignment horizontal="center" vertical="center"/>
    </xf>
    <xf numFmtId="0" fontId="0" fillId="0" borderId="3" xfId="0" applyBorder="1"/>
    <xf numFmtId="0" fontId="0" fillId="0" borderId="8" xfId="0" applyBorder="1" applyAlignment="1">
      <alignment wrapText="1"/>
    </xf>
    <xf numFmtId="0" fontId="1" fillId="6" borderId="1" xfId="0" applyFont="1" applyFill="1" applyBorder="1" applyAlignment="1">
      <alignment horizontal="center" vertical="center"/>
    </xf>
    <xf numFmtId="0" fontId="10" fillId="6" borderId="1" xfId="0" applyFont="1" applyFill="1" applyBorder="1" applyAlignment="1">
      <alignment horizontal="center" vertical="center"/>
    </xf>
    <xf numFmtId="2" fontId="0" fillId="0" borderId="0" xfId="0" applyNumberFormat="1"/>
    <xf numFmtId="49" fontId="0" fillId="0" borderId="0" xfId="0" applyNumberFormat="1"/>
    <xf numFmtId="2" fontId="1" fillId="2" borderId="0" xfId="0" applyNumberFormat="1" applyFont="1" applyFill="1"/>
    <xf numFmtId="0" fontId="1" fillId="2" borderId="1" xfId="0" applyFont="1" applyFill="1" applyBorder="1" applyAlignment="1">
      <alignment wrapText="1"/>
    </xf>
    <xf numFmtId="0" fontId="1" fillId="2" borderId="1" xfId="0" applyFont="1" applyFill="1" applyBorder="1" applyAlignment="1">
      <alignment horizontal="left"/>
    </xf>
    <xf numFmtId="0" fontId="0" fillId="0" borderId="0" xfId="0" applyAlignment="1">
      <alignment horizontal="left"/>
    </xf>
    <xf numFmtId="0" fontId="0" fillId="0" borderId="1" xfId="0" applyBorder="1" applyAlignment="1">
      <alignment horizontal="left"/>
    </xf>
    <xf numFmtId="0" fontId="10" fillId="7" borderId="1" xfId="0" applyFont="1" applyFill="1" applyBorder="1" applyAlignment="1">
      <alignment horizontal="center" vertical="center"/>
    </xf>
    <xf numFmtId="0" fontId="12" fillId="0" borderId="1" xfId="0" applyFont="1" applyBorder="1" applyAlignment="1">
      <alignment wrapText="1"/>
    </xf>
    <xf numFmtId="0" fontId="13" fillId="0" borderId="2" xfId="0" applyFont="1" applyBorder="1" applyAlignment="1">
      <alignment wrapText="1"/>
    </xf>
    <xf numFmtId="0" fontId="13" fillId="0" borderId="1" xfId="0" applyFont="1" applyBorder="1"/>
    <xf numFmtId="0" fontId="0" fillId="0" borderId="14" xfId="0" applyBorder="1"/>
    <xf numFmtId="0" fontId="13" fillId="0" borderId="2" xfId="0" applyFont="1" applyBorder="1" applyAlignment="1">
      <alignment vertical="center" wrapText="1"/>
    </xf>
    <xf numFmtId="0" fontId="12" fillId="0" borderId="1" xfId="0" applyFont="1" applyBorder="1" applyAlignment="1">
      <alignment vertical="center" wrapText="1"/>
    </xf>
    <xf numFmtId="0" fontId="10" fillId="5" borderId="2" xfId="0" applyFont="1" applyFill="1" applyBorder="1"/>
    <xf numFmtId="0" fontId="13" fillId="0" borderId="3" xfId="0" applyFont="1" applyBorder="1"/>
    <xf numFmtId="0" fontId="10" fillId="8" borderId="1" xfId="0" applyFont="1" applyFill="1" applyBorder="1" applyAlignment="1">
      <alignment horizontal="center" vertical="center"/>
    </xf>
    <xf numFmtId="0" fontId="10" fillId="9" borderId="1" xfId="0" applyFont="1" applyFill="1" applyBorder="1" applyAlignment="1">
      <alignment horizontal="center" vertical="center"/>
    </xf>
    <xf numFmtId="0" fontId="6" fillId="0" borderId="3" xfId="0" applyFont="1" applyBorder="1" applyAlignment="1">
      <alignment horizontal="center" textRotation="45" wrapText="1"/>
    </xf>
    <xf numFmtId="0" fontId="6" fillId="0" borderId="1" xfId="0" applyFont="1" applyBorder="1" applyAlignment="1">
      <alignment horizontal="center" textRotation="45" wrapText="1"/>
    </xf>
    <xf numFmtId="0" fontId="3" fillId="0" borderId="3" xfId="0" applyFont="1" applyBorder="1" applyAlignment="1">
      <alignment horizontal="left" textRotation="45" wrapText="1"/>
    </xf>
    <xf numFmtId="0" fontId="1" fillId="10" borderId="1" xfId="0" applyFont="1" applyFill="1" applyBorder="1" applyAlignment="1">
      <alignment horizontal="center" vertical="center"/>
    </xf>
    <xf numFmtId="0" fontId="0" fillId="0" borderId="0" xfId="0" applyAlignment="1">
      <alignment horizontal="left" wrapText="1"/>
    </xf>
    <xf numFmtId="0" fontId="1" fillId="0" borderId="0" xfId="0" applyFont="1" applyAlignment="1">
      <alignment horizontal="right"/>
    </xf>
    <xf numFmtId="0" fontId="6" fillId="0" borderId="4" xfId="0" applyFont="1" applyBorder="1" applyAlignment="1">
      <alignment horizontal="left" vertical="center" wrapText="1"/>
    </xf>
    <xf numFmtId="0" fontId="6" fillId="0" borderId="6" xfId="0" applyFont="1" applyBorder="1" applyAlignment="1">
      <alignment horizontal="left" vertical="center" wrapText="1"/>
    </xf>
    <xf numFmtId="0" fontId="6" fillId="0" borderId="11" xfId="0" applyFont="1" applyBorder="1" applyAlignment="1">
      <alignment horizontal="left" vertical="center" wrapText="1"/>
    </xf>
    <xf numFmtId="0" fontId="6" fillId="0" borderId="7" xfId="0" applyFont="1" applyBorder="1" applyAlignment="1">
      <alignment horizontal="left" vertical="center" wrapText="1"/>
    </xf>
    <xf numFmtId="0" fontId="14" fillId="0" borderId="4" xfId="0" applyFont="1" applyBorder="1" applyAlignment="1">
      <alignment horizontal="left" vertical="center" wrapText="1"/>
    </xf>
    <xf numFmtId="0" fontId="14" fillId="0" borderId="6" xfId="0" applyFont="1" applyBorder="1" applyAlignment="1">
      <alignment horizontal="left" vertical="center" wrapText="1"/>
    </xf>
    <xf numFmtId="0" fontId="14" fillId="0" borderId="11" xfId="0" applyFont="1" applyBorder="1" applyAlignment="1">
      <alignment horizontal="left" vertical="center" wrapText="1"/>
    </xf>
    <xf numFmtId="0" fontId="14" fillId="0" borderId="7" xfId="0" applyFont="1" applyBorder="1" applyAlignment="1">
      <alignment horizontal="left" vertical="center" wrapText="1"/>
    </xf>
    <xf numFmtId="0" fontId="1" fillId="2" borderId="2" xfId="0" applyFont="1" applyFill="1" applyBorder="1" applyAlignment="1">
      <alignment horizontal="left"/>
    </xf>
    <xf numFmtId="0" fontId="1" fillId="2" borderId="5" xfId="0" applyFont="1" applyFill="1" applyBorder="1" applyAlignment="1">
      <alignment horizontal="left"/>
    </xf>
    <xf numFmtId="0" fontId="1" fillId="2" borderId="3" xfId="0" applyFont="1" applyFill="1" applyBorder="1" applyAlignment="1">
      <alignment horizontal="left"/>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9" xfId="0" applyBorder="1" applyAlignment="1">
      <alignment horizontal="center"/>
    </xf>
    <xf numFmtId="0" fontId="0" fillId="0" borderId="10" xfId="0" applyBorder="1" applyAlignment="1">
      <alignment horizontal="center"/>
    </xf>
    <xf numFmtId="0" fontId="1" fillId="2" borderId="11" xfId="0" applyFont="1" applyFill="1" applyBorder="1" applyAlignment="1">
      <alignment horizontal="center"/>
    </xf>
    <xf numFmtId="0" fontId="1" fillId="2" borderId="12" xfId="0" applyFont="1" applyFill="1" applyBorder="1" applyAlignment="1">
      <alignment horizontal="center"/>
    </xf>
    <xf numFmtId="0" fontId="0" fillId="0" borderId="14" xfId="0" applyBorder="1" applyAlignment="1">
      <alignment horizontal="left" wrapText="1"/>
    </xf>
    <xf numFmtId="0" fontId="0" fillId="0" borderId="8" xfId="0" applyBorder="1" applyAlignment="1">
      <alignment horizontal="left" wrapText="1"/>
    </xf>
    <xf numFmtId="0" fontId="0" fillId="0" borderId="11" xfId="0" applyBorder="1" applyAlignment="1">
      <alignment horizontal="left" wrapText="1"/>
    </xf>
    <xf numFmtId="0" fontId="0" fillId="0" borderId="12" xfId="0" applyBorder="1" applyAlignment="1">
      <alignment horizontal="left" wrapText="1"/>
    </xf>
    <xf numFmtId="0" fontId="0" fillId="0" borderId="7" xfId="0" applyBorder="1" applyAlignment="1">
      <alignment horizontal="left" wrapText="1"/>
    </xf>
    <xf numFmtId="0" fontId="0" fillId="0" borderId="14" xfId="0" applyBorder="1" applyAlignment="1">
      <alignment horizontal="left"/>
    </xf>
    <xf numFmtId="0" fontId="0" fillId="0" borderId="0" xfId="0" applyAlignment="1">
      <alignment horizontal="left"/>
    </xf>
    <xf numFmtId="0" fontId="0" fillId="0" borderId="8" xfId="0" applyBorder="1" applyAlignment="1">
      <alignment horizontal="left"/>
    </xf>
    <xf numFmtId="0" fontId="0" fillId="0" borderId="1" xfId="0" applyBorder="1" applyAlignment="1">
      <alignment horizontal="left" vertical="center" wrapText="1"/>
    </xf>
    <xf numFmtId="0" fontId="1" fillId="2" borderId="1" xfId="0" applyFont="1" applyFill="1" applyBorder="1" applyAlignment="1">
      <alignment horizontal="left" wrapText="1"/>
    </xf>
    <xf numFmtId="0" fontId="0" fillId="0" borderId="4" xfId="0" applyBorder="1" applyAlignment="1">
      <alignment horizontal="left"/>
    </xf>
    <xf numFmtId="0" fontId="0" fillId="0" borderId="13" xfId="0" applyBorder="1" applyAlignment="1">
      <alignment horizontal="left"/>
    </xf>
    <xf numFmtId="0" fontId="0" fillId="0" borderId="6" xfId="0" applyBorder="1" applyAlignment="1">
      <alignment horizontal="left"/>
    </xf>
    <xf numFmtId="0" fontId="1" fillId="2" borderId="1" xfId="0" applyFont="1" applyFill="1" applyBorder="1" applyAlignment="1">
      <alignment horizontal="left"/>
    </xf>
    <xf numFmtId="0" fontId="1" fillId="0" borderId="1" xfId="0" applyFont="1" applyBorder="1" applyAlignment="1">
      <alignment horizontal="left" wrapText="1"/>
    </xf>
    <xf numFmtId="0" fontId="0" fillId="0" borderId="0" xfId="0" applyAlignment="1">
      <alignment horizontal="left" vertical="top" wrapText="1"/>
    </xf>
    <xf numFmtId="0" fontId="0" fillId="0" borderId="2" xfId="0" applyBorder="1" applyAlignment="1">
      <alignment horizontal="left" vertical="center" wrapText="1"/>
    </xf>
    <xf numFmtId="0" fontId="0" fillId="0" borderId="5" xfId="0" applyBorder="1" applyAlignment="1">
      <alignment horizontal="left" vertical="center" wrapText="1"/>
    </xf>
    <xf numFmtId="0" fontId="0" fillId="0" borderId="3" xfId="0" applyBorder="1" applyAlignment="1">
      <alignment horizontal="left" vertical="center" wrapText="1"/>
    </xf>
    <xf numFmtId="0" fontId="13" fillId="0" borderId="1" xfId="0" applyFont="1" applyBorder="1" applyAlignment="1">
      <alignment wrapText="1"/>
    </xf>
  </cellXfs>
  <cellStyles count="1">
    <cellStyle name="Normal" xfId="0" builtinId="0"/>
  </cellStyles>
  <dxfs count="4306">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8" tint="-0.499984740745262"/>
        </patternFill>
      </fill>
    </dxf>
    <dxf>
      <fill>
        <patternFill>
          <bgColor rgb="FF66FFFF"/>
        </patternFill>
      </fill>
    </dxf>
    <dxf>
      <fill>
        <patternFill>
          <bgColor theme="9" tint="0.39994506668294322"/>
        </patternFill>
      </fill>
    </dxf>
    <dxf>
      <fill>
        <patternFill>
          <bgColor rgb="FFFF7C80"/>
        </patternFill>
      </fill>
    </dxf>
    <dxf>
      <fill>
        <patternFill>
          <bgColor theme="7" tint="0.39994506668294322"/>
        </patternFill>
      </fill>
    </dxf>
    <dxf>
      <fill>
        <patternFill>
          <bgColor rgb="FF00B0F0"/>
        </patternFill>
      </fill>
    </dxf>
    <dxf>
      <fill>
        <patternFill>
          <bgColor theme="9" tint="0.59996337778862885"/>
        </patternFill>
      </fill>
    </dxf>
    <dxf>
      <fill>
        <patternFill>
          <bgColor theme="7" tint="0.39994506668294322"/>
        </patternFill>
      </fill>
    </dxf>
    <dxf>
      <fill>
        <patternFill>
          <bgColor theme="8" tint="0.79998168889431442"/>
        </patternFill>
      </fill>
    </dxf>
    <dxf>
      <fill>
        <patternFill>
          <bgColor rgb="FFFF7C80"/>
        </patternFill>
      </fill>
    </dxf>
    <dxf>
      <fill>
        <patternFill>
          <bgColor theme="7" tint="0.39994506668294322"/>
        </patternFill>
      </fill>
    </dxf>
    <dxf>
      <fill>
        <patternFill>
          <bgColor theme="7" tint="0.39994506668294322"/>
        </patternFill>
      </fill>
    </dxf>
    <dxf>
      <fill>
        <patternFill>
          <bgColor theme="8" tint="-0.499984740745262"/>
        </patternFill>
      </fill>
    </dxf>
    <dxf>
      <fill>
        <patternFill>
          <bgColor theme="8" tint="-0.499984740745262"/>
        </patternFill>
      </fill>
    </dxf>
    <dxf>
      <fill>
        <patternFill>
          <bgColor theme="2" tint="-9.9948118533890809E-2"/>
        </patternFill>
      </fill>
    </dxf>
    <dxf>
      <fill>
        <patternFill>
          <bgColor rgb="FFFF7C80"/>
        </patternFill>
      </fill>
    </dxf>
    <dxf>
      <fill>
        <patternFill>
          <bgColor theme="8" tint="0.79998168889431442"/>
        </patternFill>
      </fill>
    </dxf>
    <dxf>
      <fill>
        <patternFill>
          <bgColor theme="8" tint="0.79998168889431442"/>
        </patternFill>
      </fill>
    </dxf>
    <dxf>
      <fill>
        <patternFill>
          <bgColor theme="8" tint="-0.499984740745262"/>
        </patternFill>
      </fill>
    </dxf>
    <dxf>
      <fill>
        <patternFill>
          <bgColor theme="9"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9" tint="-0.499984740745262"/>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rgb="FFFF7C80"/>
        </patternFill>
      </fill>
    </dxf>
    <dxf>
      <fill>
        <patternFill>
          <bgColor rgb="FF66FFFF"/>
        </patternFill>
      </fill>
    </dxf>
    <dxf>
      <fill>
        <patternFill>
          <bgColor theme="8" tint="-0.499984740745262"/>
        </patternFill>
      </fill>
    </dxf>
    <dxf>
      <fill>
        <patternFill>
          <bgColor rgb="FFFF7C80"/>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8" tint="-0.24994659260841701"/>
        </patternFill>
      </fill>
    </dxf>
    <dxf>
      <fill>
        <patternFill>
          <bgColor theme="9" tint="0.3999450666829432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8" tint="0.59996337778862885"/>
        </patternFill>
      </fill>
    </dxf>
    <dxf>
      <fill>
        <patternFill>
          <bgColor theme="8" tint="0.59996337778862885"/>
        </patternFill>
      </fill>
    </dxf>
    <dxf>
      <fill>
        <patternFill>
          <bgColor theme="8" tint="0.79998168889431442"/>
        </patternFill>
      </fill>
    </dxf>
    <dxf>
      <fill>
        <patternFill>
          <bgColor rgb="FFFF7C80"/>
        </patternFill>
      </fill>
    </dxf>
    <dxf>
      <fill>
        <patternFill>
          <bgColor rgb="FFFF7C80"/>
        </patternFill>
      </fill>
    </dxf>
    <dxf>
      <fill>
        <patternFill>
          <bgColor theme="9" tint="0.39994506668294322"/>
        </patternFill>
      </fill>
    </dxf>
    <dxf>
      <fill>
        <patternFill>
          <bgColor theme="8" tint="-0.499984740745262"/>
        </patternFill>
      </fill>
    </dxf>
    <dxf>
      <fill>
        <patternFill>
          <bgColor theme="9"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66FFFF"/>
        </patternFill>
      </fill>
    </dxf>
    <dxf>
      <fill>
        <patternFill>
          <bgColor theme="9" tint="0.39994506668294322"/>
        </patternFill>
      </fill>
    </dxf>
    <dxf>
      <fill>
        <patternFill>
          <bgColor theme="8" tint="-0.499984740745262"/>
        </patternFill>
      </fill>
    </dxf>
    <dxf>
      <fill>
        <patternFill>
          <bgColor theme="9" tint="-0.499984740745262"/>
        </patternFill>
      </fill>
    </dxf>
    <dxf>
      <fill>
        <patternFill>
          <bgColor theme="4" tint="-0.499984740745262"/>
        </patternFill>
      </fill>
    </dxf>
    <dxf>
      <fill>
        <patternFill>
          <bgColor theme="7" tint="0.3999450666829432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59996337778862885"/>
        </patternFill>
      </fill>
    </dxf>
    <dxf>
      <fill>
        <patternFill>
          <bgColor theme="8" tint="0.79998168889431442"/>
        </patternFill>
      </fill>
    </dxf>
    <dxf>
      <fill>
        <patternFill>
          <bgColor theme="8" tint="-0.24994659260841701"/>
        </patternFill>
      </fill>
    </dxf>
    <dxf>
      <fill>
        <patternFill>
          <bgColor rgb="FFFF7C80"/>
        </patternFill>
      </fill>
    </dxf>
    <dxf>
      <fill>
        <patternFill>
          <bgColor theme="7" tint="0.3999450666829432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66FFFF"/>
        </patternFill>
      </fill>
    </dxf>
    <dxf>
      <fill>
        <patternFill>
          <bgColor theme="9" tint="0.39994506668294322"/>
        </patternFill>
      </fill>
    </dxf>
    <dxf>
      <fill>
        <patternFill>
          <bgColor theme="8" tint="-0.499984740745262"/>
        </patternFill>
      </fill>
    </dxf>
    <dxf>
      <fill>
        <patternFill>
          <bgColor theme="9"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66FFFF"/>
        </patternFill>
      </fill>
    </dxf>
    <dxf>
      <fill>
        <patternFill>
          <bgColor theme="9" tint="0.39994506668294322"/>
        </patternFill>
      </fill>
    </dxf>
    <dxf>
      <fill>
        <patternFill>
          <bgColor theme="8" tint="-0.499984740745262"/>
        </patternFill>
      </fill>
    </dxf>
    <dxf>
      <fill>
        <patternFill>
          <bgColor theme="9" tint="-0.499984740745262"/>
        </patternFill>
      </fill>
    </dxf>
    <dxf>
      <fill>
        <patternFill>
          <bgColor theme="4" tint="-0.499984740745262"/>
        </patternFill>
      </fill>
    </dxf>
    <dxf>
      <fill>
        <patternFill>
          <bgColor theme="7" tint="0.3999450666829432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66FFFF"/>
        </patternFill>
      </fill>
    </dxf>
    <dxf>
      <fill>
        <patternFill>
          <bgColor theme="9" tint="0.39994506668294322"/>
        </patternFill>
      </fill>
    </dxf>
    <dxf>
      <fill>
        <patternFill>
          <bgColor theme="2" tint="-9.9948118533890809E-2"/>
        </patternFill>
      </fill>
    </dxf>
    <dxf>
      <fill>
        <patternFill>
          <bgColor rgb="FFB889DB"/>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rgb="FF66FFFF"/>
        </patternFill>
      </fill>
    </dxf>
    <dxf>
      <fill>
        <patternFill>
          <bgColor theme="9" tint="0.3999450666829432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rgb="FF66FFFF"/>
        </patternFill>
      </fill>
    </dxf>
    <dxf>
      <fill>
        <patternFill>
          <bgColor theme="2" tint="-9.9948118533890809E-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8" tint="0.59996337778862885"/>
        </patternFill>
      </fill>
    </dxf>
    <dxf>
      <fill>
        <patternFill>
          <bgColor theme="8" tint="-0.499984740745262"/>
        </patternFill>
      </fill>
    </dxf>
    <dxf>
      <fill>
        <patternFill>
          <bgColor theme="9"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B889DB"/>
        </patternFill>
      </fill>
    </dxf>
    <dxf>
      <fill>
        <patternFill>
          <bgColor rgb="FFFF7C80"/>
        </patternFill>
      </fill>
    </dxf>
    <dxf>
      <fill>
        <patternFill>
          <bgColor theme="8" tint="-0.499984740745262"/>
        </patternFill>
      </fill>
    </dxf>
    <dxf>
      <fill>
        <patternFill>
          <bgColor theme="4" tint="-0.499984740745262"/>
        </patternFill>
      </fill>
    </dxf>
    <dxf>
      <fill>
        <patternFill>
          <bgColor theme="8" tint="-0.499984740745262"/>
        </patternFill>
      </fill>
    </dxf>
    <dxf>
      <fill>
        <patternFill>
          <bgColor theme="8" tint="-0.499984740745262"/>
        </patternFill>
      </fill>
    </dxf>
    <dxf>
      <fill>
        <patternFill>
          <bgColor theme="4" tint="-0.499984740745262"/>
        </patternFill>
      </fill>
    </dxf>
    <dxf>
      <fill>
        <patternFill>
          <bgColor theme="9" tint="0.39994506668294322"/>
        </patternFill>
      </fill>
    </dxf>
    <dxf>
      <fill>
        <patternFill>
          <bgColor theme="8" tint="-0.24994659260841701"/>
        </patternFill>
      </fill>
    </dxf>
    <dxf>
      <fill>
        <patternFill>
          <bgColor theme="8" tint="0.59996337778862885"/>
        </patternFill>
      </fill>
    </dxf>
    <dxf>
      <fill>
        <patternFill>
          <bgColor rgb="FFFF7C80"/>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8" tint="0.79998168889431442"/>
        </patternFill>
      </fill>
    </dxf>
    <dxf>
      <fill>
        <patternFill>
          <bgColor theme="9"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499984740745262"/>
        </patternFill>
      </fill>
    </dxf>
    <dxf>
      <fill>
        <patternFill>
          <bgColor theme="9" tint="0.39994506668294322"/>
        </patternFill>
      </fill>
    </dxf>
    <dxf>
      <fill>
        <patternFill>
          <bgColor theme="4" tint="-0.499984740745262"/>
        </patternFill>
      </fill>
    </dxf>
    <dxf>
      <fill>
        <patternFill>
          <bgColor theme="8" tint="-0.499984740745262"/>
        </patternFill>
      </fill>
    </dxf>
    <dxf>
      <fill>
        <patternFill>
          <bgColor theme="8" tint="-0.24994659260841701"/>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rgb="FF66FFFF"/>
        </patternFill>
      </fill>
    </dxf>
    <dxf>
      <fill>
        <patternFill>
          <bgColor theme="9" tint="0.3999450666829432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theme="8" tint="-0.499984740745262"/>
        </patternFill>
      </fill>
    </dxf>
    <dxf>
      <fill>
        <patternFill>
          <bgColor theme="2" tint="-9.9948118533890809E-2"/>
        </patternFill>
      </fill>
    </dxf>
    <dxf>
      <fill>
        <patternFill>
          <bgColor theme="7" tint="0.39994506668294322"/>
        </patternFill>
      </fill>
    </dxf>
    <dxf>
      <fill>
        <patternFill>
          <bgColor theme="8" tint="-0.499984740745262"/>
        </patternFill>
      </fill>
    </dxf>
    <dxf>
      <fill>
        <patternFill>
          <bgColor rgb="FFFF7C80"/>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9" tint="0.39994506668294322"/>
        </patternFill>
      </fill>
    </dxf>
    <dxf>
      <fill>
        <patternFill>
          <bgColor rgb="FF66FFFF"/>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rgb="FF66FFFF"/>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rgb="FF66FFFF"/>
        </patternFill>
      </fill>
    </dxf>
    <dxf>
      <fill>
        <patternFill>
          <bgColor theme="8" tint="-0.499984740745262"/>
        </patternFill>
      </fill>
    </dxf>
    <dxf>
      <fill>
        <patternFill>
          <bgColor theme="2" tint="-9.9948118533890809E-2"/>
        </patternFill>
      </fill>
    </dxf>
    <dxf>
      <fill>
        <patternFill>
          <bgColor rgb="FFFF7C80"/>
        </patternFill>
      </fill>
    </dxf>
    <dxf>
      <fill>
        <patternFill>
          <bgColor theme="8" tint="-0.24994659260841701"/>
        </patternFill>
      </fill>
    </dxf>
    <dxf>
      <fill>
        <patternFill>
          <bgColor theme="8" tint="0.79998168889431442"/>
        </patternFill>
      </fill>
    </dxf>
    <dxf>
      <fill>
        <patternFill>
          <bgColor theme="8" tint="0.59996337778862885"/>
        </patternFill>
      </fill>
    </dxf>
    <dxf>
      <fill>
        <patternFill>
          <bgColor theme="8" tint="0.79998168889431442"/>
        </patternFill>
      </fill>
    </dxf>
    <dxf>
      <fill>
        <patternFill>
          <bgColor rgb="FFB889DB"/>
        </patternFill>
      </fill>
    </dxf>
    <dxf>
      <fill>
        <patternFill>
          <bgColor theme="8" tint="-0.499984740745262"/>
        </patternFill>
      </fill>
    </dxf>
    <dxf>
      <fill>
        <patternFill>
          <bgColor theme="8" tint="-0.24994659260841701"/>
        </patternFill>
      </fill>
    </dxf>
    <dxf>
      <fill>
        <patternFill>
          <bgColor theme="8" tint="0.59996337778862885"/>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7999816888943144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rgb="FFFF7C80"/>
        </patternFill>
      </fill>
    </dxf>
    <dxf>
      <fill>
        <patternFill>
          <bgColor theme="4" tint="-0.499984740745262"/>
        </patternFill>
      </fill>
    </dxf>
    <dxf>
      <fill>
        <patternFill>
          <bgColor theme="7" tint="0.39994506668294322"/>
        </patternFill>
      </fill>
    </dxf>
    <dxf>
      <fill>
        <patternFill>
          <bgColor theme="9" tint="0.59996337778862885"/>
        </patternFill>
      </fill>
    </dxf>
    <dxf>
      <fill>
        <patternFill>
          <bgColor rgb="FF00B0F0"/>
        </patternFill>
      </fill>
    </dxf>
    <dxf>
      <fill>
        <patternFill>
          <bgColor theme="9" tint="0.59996337778862885"/>
        </patternFill>
      </fill>
    </dxf>
    <dxf>
      <fill>
        <patternFill>
          <bgColor rgb="FF00B0F0"/>
        </patternFill>
      </fill>
    </dxf>
    <dxf>
      <fill>
        <patternFill>
          <bgColor theme="7" tint="0.39994506668294322"/>
        </patternFill>
      </fill>
    </dxf>
    <dxf>
      <fill>
        <patternFill>
          <bgColor rgb="FFFF7C80"/>
        </patternFill>
      </fill>
    </dxf>
    <dxf>
      <fill>
        <patternFill>
          <bgColor theme="8"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9" tint="0.39994506668294322"/>
        </patternFill>
      </fill>
    </dxf>
    <dxf>
      <fill>
        <patternFill>
          <bgColor theme="8" tint="0.7999816888943144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rgb="FF66FFFF"/>
        </patternFill>
      </fill>
    </dxf>
    <dxf>
      <fill>
        <patternFill>
          <bgColor theme="9" tint="0.39994506668294322"/>
        </patternFill>
      </fill>
    </dxf>
    <dxf>
      <fill>
        <patternFill>
          <bgColor theme="8" tint="-0.499984740745262"/>
        </patternFill>
      </fill>
    </dxf>
    <dxf>
      <fill>
        <patternFill>
          <bgColor theme="9" tint="-0.499984740745262"/>
        </patternFill>
      </fill>
    </dxf>
    <dxf>
      <fill>
        <patternFill>
          <bgColor theme="4" tint="-0.499984740745262"/>
        </patternFill>
      </fill>
    </dxf>
    <dxf>
      <fill>
        <patternFill>
          <bgColor theme="8" tint="0.39994506668294322"/>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rgb="FF66FFFF"/>
        </patternFill>
      </fill>
    </dxf>
    <dxf>
      <fill>
        <patternFill>
          <bgColor theme="8" tint="-0.499984740745262"/>
        </patternFill>
      </fill>
    </dxf>
    <dxf>
      <fill>
        <patternFill>
          <bgColor theme="2" tint="-9.9948118533890809E-2"/>
        </patternFill>
      </fill>
    </dxf>
    <dxf>
      <fill>
        <patternFill>
          <bgColor rgb="FFFF7C80"/>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B889DB"/>
        </patternFill>
      </fill>
    </dxf>
    <dxf>
      <fill>
        <patternFill>
          <bgColor theme="8" tint="0.59996337778862885"/>
        </patternFill>
      </fill>
    </dxf>
    <dxf>
      <fill>
        <patternFill>
          <bgColor theme="8" tint="0.39994506668294322"/>
        </patternFill>
      </fill>
    </dxf>
    <dxf>
      <fill>
        <patternFill>
          <bgColor theme="9" tint="0.39994506668294322"/>
        </patternFill>
      </fill>
    </dxf>
    <dxf>
      <fill>
        <patternFill>
          <bgColor rgb="FFB889DB"/>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rgb="FFFF7C80"/>
        </patternFill>
      </fill>
    </dxf>
    <dxf>
      <fill>
        <patternFill>
          <bgColor theme="8" tint="-0.24994659260841701"/>
        </patternFill>
      </fill>
    </dxf>
    <dxf>
      <fill>
        <patternFill>
          <bgColor rgb="FF66FFFF"/>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8" tint="0.79998168889431442"/>
        </patternFill>
      </fill>
    </dxf>
    <dxf>
      <fill>
        <patternFill>
          <bgColor theme="8"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59996337778862885"/>
        </patternFill>
      </fill>
    </dxf>
    <dxf>
      <fill>
        <patternFill>
          <bgColor theme="8" tint="0.79998168889431442"/>
        </patternFill>
      </fill>
    </dxf>
    <dxf>
      <fill>
        <patternFill>
          <bgColor theme="9" tint="0.39994506668294322"/>
        </patternFill>
      </fill>
    </dxf>
    <dxf>
      <fill>
        <patternFill>
          <bgColor theme="8" tint="-0.24994659260841701"/>
        </patternFill>
      </fill>
    </dxf>
    <dxf>
      <fill>
        <patternFill>
          <bgColor theme="9" tint="0.39994506668294322"/>
        </patternFill>
      </fill>
    </dxf>
    <dxf>
      <fill>
        <patternFill>
          <bgColor rgb="FFFF7C80"/>
        </patternFill>
      </fill>
    </dxf>
    <dxf>
      <fill>
        <patternFill>
          <bgColor theme="8" tint="-0.24994659260841701"/>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rgb="FFB889DB"/>
        </patternFill>
      </fill>
    </dxf>
    <dxf>
      <fill>
        <patternFill>
          <bgColor theme="9" tint="0.39994506668294322"/>
        </patternFill>
      </fill>
    </dxf>
    <dxf>
      <fill>
        <patternFill>
          <bgColor rgb="FFB889DB"/>
        </patternFill>
      </fill>
    </dxf>
    <dxf>
      <fill>
        <patternFill>
          <bgColor theme="2" tint="-9.9948118533890809E-2"/>
        </patternFill>
      </fill>
    </dxf>
    <dxf>
      <fill>
        <patternFill>
          <bgColor theme="9"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7" tint="0.39994506668294322"/>
        </patternFill>
      </fill>
    </dxf>
    <dxf>
      <fill>
        <patternFill>
          <bgColor theme="4" tint="-0.499984740745262"/>
        </patternFill>
      </fill>
    </dxf>
    <dxf>
      <fill>
        <patternFill>
          <bgColor theme="9" tint="-0.499984740745262"/>
        </patternFill>
      </fill>
    </dxf>
    <dxf>
      <fill>
        <patternFill>
          <bgColor theme="8" tint="-0.499984740745262"/>
        </patternFill>
      </fill>
    </dxf>
    <dxf>
      <fill>
        <patternFill>
          <bgColor theme="9" tint="0.39994506668294322"/>
        </patternFill>
      </fill>
    </dxf>
    <dxf>
      <fill>
        <patternFill>
          <bgColor rgb="FF66FFFF"/>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9" tint="0.39994506668294322"/>
        </patternFill>
      </fill>
    </dxf>
    <dxf>
      <fill>
        <patternFill>
          <bgColor theme="8" tint="-0.49998474074526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rgb="FFFF7C80"/>
        </patternFill>
      </fill>
    </dxf>
    <dxf>
      <fill>
        <patternFill>
          <bgColor theme="8" tint="-0.499984740745262"/>
        </patternFill>
      </fill>
    </dxf>
    <dxf>
      <fill>
        <patternFill>
          <bgColor theme="9" tint="0.39994506668294322"/>
        </patternFill>
      </fill>
    </dxf>
    <dxf>
      <fill>
        <patternFill>
          <bgColor rgb="FF66FFFF"/>
        </patternFill>
      </fill>
    </dxf>
    <dxf>
      <fill>
        <patternFill>
          <bgColor rgb="FFFF7C80"/>
        </patternFill>
      </fill>
    </dxf>
    <dxf>
      <fill>
        <patternFill>
          <bgColor theme="7" tint="0.39994506668294322"/>
        </patternFill>
      </fill>
    </dxf>
    <dxf>
      <fill>
        <patternFill>
          <bgColor theme="8" tint="0.59996337778862885"/>
        </patternFill>
      </fill>
    </dxf>
    <dxf>
      <fill>
        <patternFill>
          <bgColor theme="2" tint="-9.9948118533890809E-2"/>
        </patternFill>
      </fill>
    </dxf>
    <dxf>
      <fill>
        <patternFill>
          <bgColor rgb="FFFF7C80"/>
        </patternFill>
      </fill>
    </dxf>
    <dxf>
      <fill>
        <patternFill>
          <bgColor theme="7" tint="0.39994506668294322"/>
        </patternFill>
      </fill>
    </dxf>
    <dxf>
      <fill>
        <patternFill>
          <bgColor theme="8" tint="-0.499984740745262"/>
        </patternFill>
      </fill>
    </dxf>
    <dxf>
      <fill>
        <patternFill>
          <bgColor rgb="FFFF7C80"/>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9" tint="0.39994506668294322"/>
        </patternFill>
      </fill>
    </dxf>
    <dxf>
      <fill>
        <patternFill>
          <bgColor rgb="FF66FFFF"/>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rgb="FF66FFFF"/>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79998168889431442"/>
        </patternFill>
      </fill>
    </dxf>
    <dxf>
      <fill>
        <patternFill>
          <bgColor rgb="FFFF7C80"/>
        </patternFill>
      </fill>
    </dxf>
    <dxf>
      <fill>
        <patternFill>
          <bgColor theme="7" tint="0.39994506668294322"/>
        </patternFill>
      </fill>
    </dxf>
    <dxf>
      <fill>
        <patternFill>
          <bgColor rgb="FF66FFFF"/>
        </patternFill>
      </fill>
    </dxf>
    <dxf>
      <fill>
        <patternFill>
          <bgColor theme="8" tint="-0.499984740745262"/>
        </patternFill>
      </fill>
    </dxf>
    <dxf>
      <fill>
        <patternFill>
          <bgColor theme="8" tint="-0.499984740745262"/>
        </patternFill>
      </fill>
    </dxf>
    <dxf>
      <fill>
        <patternFill>
          <bgColor theme="4" tint="-0.499984740745262"/>
        </patternFill>
      </fill>
    </dxf>
    <dxf>
      <fill>
        <patternFill>
          <bgColor theme="8" tint="-0.499984740745262"/>
        </patternFill>
      </fill>
    </dxf>
    <dxf>
      <fill>
        <patternFill>
          <bgColor rgb="FFFF7C80"/>
        </patternFill>
      </fill>
    </dxf>
    <dxf>
      <fill>
        <patternFill>
          <bgColor rgb="FFB889DB"/>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9" tint="0.39994506668294322"/>
        </patternFill>
      </fill>
    </dxf>
    <dxf>
      <fill>
        <patternFill>
          <bgColor theme="8" tint="-0.49998474074526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9" tint="0.39994506668294322"/>
        </patternFill>
      </fill>
    </dxf>
    <dxf>
      <fill>
        <patternFill>
          <bgColor theme="8" tint="-0.49998474074526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9" tint="0.3999450666829432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rgb="FFFF7C80"/>
        </patternFill>
      </fill>
    </dxf>
    <dxf>
      <fill>
        <patternFill>
          <bgColor theme="2" tint="-9.9948118533890809E-2"/>
        </patternFill>
      </fill>
    </dxf>
    <dxf>
      <fill>
        <patternFill>
          <bgColor theme="8" tint="-0.499984740745262"/>
        </patternFill>
      </fill>
    </dxf>
    <dxf>
      <fill>
        <patternFill>
          <bgColor rgb="FF66FFFF"/>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9" tint="0.39994506668294322"/>
        </patternFill>
      </fill>
    </dxf>
    <dxf>
      <fill>
        <patternFill>
          <bgColor rgb="FF66FFFF"/>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79998168889431442"/>
        </patternFill>
      </fill>
    </dxf>
    <dxf>
      <fill>
        <patternFill>
          <bgColor rgb="FFB889DB"/>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8"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9" tint="0.3999450666829432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rgb="FF66FFFF"/>
        </patternFill>
      </fill>
    </dxf>
    <dxf>
      <fill>
        <patternFill>
          <bgColor theme="9" tint="0.3999450666829432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rgb="FF66FFFF"/>
        </patternFill>
      </fill>
    </dxf>
    <dxf>
      <fill>
        <patternFill>
          <bgColor theme="8" tint="-0.499984740745262"/>
        </patternFill>
      </fill>
    </dxf>
    <dxf>
      <fill>
        <patternFill>
          <bgColor theme="2" tint="-9.9948118533890809E-2"/>
        </patternFill>
      </fill>
    </dxf>
    <dxf>
      <fill>
        <patternFill>
          <bgColor rgb="FFFF7C80"/>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B889DB"/>
        </patternFill>
      </fill>
    </dxf>
    <dxf>
      <fill>
        <patternFill>
          <bgColor theme="9" tint="0.39994506668294322"/>
        </patternFill>
      </fill>
    </dxf>
    <dxf>
      <fill>
        <patternFill>
          <bgColor rgb="FFB889DB"/>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8" tint="0.79998168889431442"/>
        </patternFill>
      </fill>
    </dxf>
    <dxf>
      <fill>
        <patternFill>
          <bgColor theme="8"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9" tint="0.3999450666829432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rgb="FF66FFFF"/>
        </patternFill>
      </fill>
    </dxf>
    <dxf>
      <fill>
        <patternFill>
          <bgColor theme="8" tint="-0.49998474074526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2" tint="-9.9948118533890809E-2"/>
        </patternFill>
      </fill>
    </dxf>
    <dxf>
      <fill>
        <patternFill>
          <bgColor theme="8" tint="0.79998168889431442"/>
        </patternFill>
      </fill>
    </dxf>
    <dxf>
      <fill>
        <patternFill>
          <bgColor theme="8" tint="0.59996337778862885"/>
        </patternFill>
      </fill>
    </dxf>
    <dxf>
      <fill>
        <patternFill>
          <bgColor theme="8" tint="0.79998168889431442"/>
        </patternFill>
      </fill>
    </dxf>
    <dxf>
      <fill>
        <patternFill>
          <bgColor theme="4" tint="-0.499984740745262"/>
        </patternFill>
      </fill>
    </dxf>
    <dxf>
      <fill>
        <patternFill>
          <bgColor theme="8" tint="-0.24994659260841701"/>
        </patternFill>
      </fill>
    </dxf>
    <dxf>
      <fill>
        <patternFill>
          <bgColor theme="9" tint="-0.499984740745262"/>
        </patternFill>
      </fill>
    </dxf>
    <dxf>
      <fill>
        <patternFill>
          <bgColor theme="8" tint="0.59996337778862885"/>
        </patternFill>
      </fill>
    </dxf>
    <dxf>
      <fill>
        <patternFill>
          <bgColor theme="7" tint="0.39994506668294322"/>
        </patternFill>
      </fill>
    </dxf>
    <dxf>
      <fill>
        <patternFill>
          <bgColor theme="8" tint="0.79998168889431442"/>
        </patternFill>
      </fill>
    </dxf>
    <dxf>
      <fill>
        <patternFill>
          <bgColor theme="9" tint="0.39994506668294322"/>
        </patternFill>
      </fill>
    </dxf>
    <dxf>
      <fill>
        <patternFill>
          <bgColor theme="8" tint="-0.499984740745262"/>
        </patternFill>
      </fill>
    </dxf>
    <dxf>
      <fill>
        <patternFill>
          <bgColor rgb="FFB889DB"/>
        </patternFill>
      </fill>
    </dxf>
    <dxf>
      <fill>
        <patternFill>
          <bgColor theme="9" tint="0.3999450666829432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rgb="FF66FFFF"/>
        </patternFill>
      </fill>
    </dxf>
    <dxf>
      <fill>
        <patternFill>
          <bgColor theme="8" tint="-0.499984740745262"/>
        </patternFill>
      </fill>
    </dxf>
    <dxf>
      <fill>
        <patternFill>
          <bgColor theme="2" tint="-9.9948118533890809E-2"/>
        </patternFill>
      </fill>
    </dxf>
    <dxf>
      <fill>
        <patternFill>
          <bgColor rgb="FFFF7C80"/>
        </patternFill>
      </fill>
    </dxf>
    <dxf>
      <fill>
        <patternFill>
          <bgColor theme="7" tint="0.3999450666829432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rgb="FF66FFFF"/>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66FFFF"/>
        </patternFill>
      </fill>
    </dxf>
    <dxf>
      <fill>
        <patternFill>
          <bgColor theme="8" tint="-0.24994659260841701"/>
        </patternFill>
      </fill>
    </dxf>
    <dxf>
      <fill>
        <patternFill>
          <bgColor theme="9" tint="0.39994506668294322"/>
        </patternFill>
      </fill>
    </dxf>
    <dxf>
      <fill>
        <patternFill>
          <bgColor theme="8" tint="-0.499984740745262"/>
        </patternFill>
      </fill>
    </dxf>
    <dxf>
      <fill>
        <patternFill>
          <bgColor theme="2" tint="-9.9948118533890809E-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rgb="FFB889DB"/>
        </patternFill>
      </fill>
    </dxf>
    <dxf>
      <fill>
        <patternFill>
          <bgColor theme="8" tint="-0.499984740745262"/>
        </patternFill>
      </fill>
    </dxf>
    <dxf>
      <fill>
        <patternFill>
          <bgColor theme="9" tint="-0.499984740745262"/>
        </patternFill>
      </fill>
    </dxf>
    <dxf>
      <fill>
        <patternFill>
          <bgColor theme="8" tint="-0.49998474074526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8" tint="0.59996337778862885"/>
        </patternFill>
      </fill>
    </dxf>
    <dxf>
      <fill>
        <patternFill>
          <bgColor theme="8" tint="0.79998168889431442"/>
        </patternFill>
      </fill>
    </dxf>
    <dxf>
      <fill>
        <patternFill>
          <bgColor theme="4" tint="-0.499984740745262"/>
        </patternFill>
      </fill>
    </dxf>
    <dxf>
      <fill>
        <patternFill>
          <bgColor theme="7" tint="0.39994506668294322"/>
        </patternFill>
      </fill>
    </dxf>
    <dxf>
      <fill>
        <patternFill>
          <bgColor theme="8" tint="0.79998168889431442"/>
        </patternFill>
      </fill>
    </dxf>
    <dxf>
      <fill>
        <patternFill>
          <bgColor theme="8" tint="-0.24994659260841701"/>
        </patternFill>
      </fill>
    </dxf>
    <dxf>
      <fill>
        <patternFill>
          <bgColor rgb="FFFF7C80"/>
        </patternFill>
      </fill>
    </dxf>
    <dxf>
      <fill>
        <patternFill>
          <bgColor theme="8" tint="0.79998168889431442"/>
        </patternFill>
      </fill>
    </dxf>
    <dxf>
      <fill>
        <patternFill>
          <bgColor theme="8" tint="0.59996337778862885"/>
        </patternFill>
      </fill>
    </dxf>
    <dxf>
      <fill>
        <patternFill>
          <bgColor theme="4" tint="-0.499984740745262"/>
        </patternFill>
      </fill>
    </dxf>
    <dxf>
      <fill>
        <patternFill>
          <bgColor theme="7" tint="0.39994506668294322"/>
        </patternFill>
      </fill>
    </dxf>
    <dxf>
      <fill>
        <patternFill>
          <bgColor theme="8" tint="-0.24994659260841701"/>
        </patternFill>
      </fill>
    </dxf>
    <dxf>
      <fill>
        <patternFill>
          <bgColor theme="9" tint="-0.499984740745262"/>
        </patternFill>
      </fill>
    </dxf>
    <dxf>
      <fill>
        <patternFill>
          <bgColor theme="8" tint="-0.499984740745262"/>
        </patternFill>
      </fill>
    </dxf>
    <dxf>
      <fill>
        <patternFill>
          <bgColor theme="9" tint="0.39994506668294322"/>
        </patternFill>
      </fill>
    </dxf>
    <dxf>
      <fill>
        <patternFill>
          <bgColor rgb="FF66FFFF"/>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9" tint="0.3999450666829432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8"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9" tint="0.39994506668294322"/>
        </patternFill>
      </fill>
    </dxf>
    <dxf>
      <fill>
        <patternFill>
          <bgColor rgb="FF66FFFF"/>
        </patternFill>
      </fill>
    </dxf>
    <dxf>
      <fill>
        <patternFill>
          <bgColor theme="7" tint="0.3999450666829432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B889DB"/>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rgb="FF66FFFF"/>
        </patternFill>
      </fill>
    </dxf>
    <dxf>
      <fill>
        <patternFill>
          <bgColor theme="8" tint="-0.499984740745262"/>
        </patternFill>
      </fill>
    </dxf>
    <dxf>
      <fill>
        <patternFill>
          <bgColor rgb="FFFF7C80"/>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7" tint="0.39994506668294322"/>
        </patternFill>
      </fill>
    </dxf>
    <dxf>
      <fill>
        <patternFill>
          <bgColor theme="4" tint="-0.499984740745262"/>
        </patternFill>
      </fill>
    </dxf>
    <dxf>
      <fill>
        <patternFill>
          <bgColor rgb="FFFF7C80"/>
        </patternFill>
      </fill>
    </dxf>
    <dxf>
      <fill>
        <patternFill>
          <bgColor theme="7" tint="0.39994506668294322"/>
        </patternFill>
      </fill>
    </dxf>
    <dxf>
      <fill>
        <patternFill>
          <bgColor rgb="FF66FFFF"/>
        </patternFill>
      </fill>
    </dxf>
    <dxf>
      <fill>
        <patternFill>
          <bgColor theme="8" tint="-0.499984740745262"/>
        </patternFill>
      </fill>
    </dxf>
    <dxf>
      <fill>
        <patternFill>
          <bgColor theme="2" tint="-9.9948118533890809E-2"/>
        </patternFill>
      </fill>
    </dxf>
    <dxf>
      <fill>
        <patternFill>
          <bgColor rgb="FFFF7C80"/>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7" tint="0.39994506668294322"/>
        </patternFill>
      </fill>
    </dxf>
    <dxf>
      <fill>
        <patternFill>
          <bgColor theme="4" tint="-0.499984740745262"/>
        </patternFill>
      </fill>
    </dxf>
    <dxf>
      <fill>
        <patternFill>
          <bgColor theme="9" tint="-0.499984740745262"/>
        </patternFill>
      </fill>
    </dxf>
    <dxf>
      <fill>
        <patternFill>
          <bgColor theme="8" tint="-0.499984740745262"/>
        </patternFill>
      </fill>
    </dxf>
    <dxf>
      <fill>
        <patternFill>
          <bgColor rgb="FF66FFFF"/>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9" tint="0.39994506668294322"/>
        </patternFill>
      </fill>
    </dxf>
    <dxf>
      <fill>
        <patternFill>
          <bgColor theme="8" tint="-0.499984740745262"/>
        </patternFill>
      </fill>
    </dxf>
    <dxf>
      <fill>
        <patternFill>
          <bgColor theme="9" tint="0.39994506668294322"/>
        </patternFill>
      </fill>
    </dxf>
    <dxf>
      <fill>
        <patternFill>
          <bgColor rgb="FFB889DB"/>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rgb="FFFF7C80"/>
        </patternFill>
      </fill>
    </dxf>
    <dxf>
      <fill>
        <patternFill>
          <bgColor theme="2" tint="-9.9948118533890809E-2"/>
        </patternFill>
      </fill>
    </dxf>
    <dxf>
      <fill>
        <patternFill>
          <bgColor theme="8" tint="-0.499984740745262"/>
        </patternFill>
      </fill>
    </dxf>
    <dxf>
      <fill>
        <patternFill>
          <bgColor rgb="FF66FFFF"/>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rgb="FF66FFFF"/>
        </patternFill>
      </fill>
    </dxf>
    <dxf>
      <fill>
        <patternFill>
          <bgColor theme="8" tint="-0.499984740745262"/>
        </patternFill>
      </fill>
    </dxf>
    <dxf>
      <fill>
        <patternFill>
          <bgColor theme="9" tint="-0.499984740745262"/>
        </patternFill>
      </fill>
    </dxf>
    <dxf>
      <fill>
        <patternFill>
          <bgColor theme="9" tint="0.39994506668294322"/>
        </patternFill>
      </fill>
    </dxf>
    <dxf>
      <fill>
        <patternFill>
          <bgColor theme="7" tint="0.39994506668294322"/>
        </patternFill>
      </fill>
    </dxf>
    <dxf>
      <fill>
        <patternFill>
          <bgColor theme="9" tint="0.39994506668294322"/>
        </patternFill>
      </fill>
    </dxf>
    <dxf>
      <fill>
        <patternFill>
          <bgColor rgb="FFB889DB"/>
        </patternFill>
      </fill>
    </dxf>
    <dxf>
      <fill>
        <patternFill>
          <bgColor theme="2" tint="-9.9948118533890809E-2"/>
        </patternFill>
      </fill>
    </dxf>
    <dxf>
      <fill>
        <patternFill>
          <bgColor theme="9" tint="0.3999450666829432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7" tint="0.39994506668294322"/>
        </patternFill>
      </fill>
    </dxf>
    <dxf>
      <fill>
        <patternFill>
          <bgColor rgb="FFFF7C80"/>
        </patternFill>
      </fill>
    </dxf>
    <dxf>
      <fill>
        <patternFill>
          <bgColor theme="8" tint="0.79998168889431442"/>
        </patternFill>
      </fill>
    </dxf>
    <dxf>
      <fill>
        <patternFill>
          <bgColor theme="9" tint="0.3999450666829432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rgb="FFFF7C80"/>
        </patternFill>
      </fill>
    </dxf>
    <dxf>
      <fill>
        <patternFill>
          <bgColor theme="2" tint="-9.9948118533890809E-2"/>
        </patternFill>
      </fill>
    </dxf>
    <dxf>
      <fill>
        <patternFill>
          <bgColor theme="8" tint="-0.499984740745262"/>
        </patternFill>
      </fill>
    </dxf>
    <dxf>
      <fill>
        <patternFill>
          <bgColor rgb="FF66FFFF"/>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59996337778862885"/>
        </patternFill>
      </fill>
    </dxf>
    <dxf>
      <fill>
        <patternFill>
          <bgColor theme="8" tint="-0.499984740745262"/>
        </patternFill>
      </fill>
    </dxf>
    <dxf>
      <fill>
        <patternFill>
          <bgColor rgb="FFFF7C80"/>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9" tint="0.39994506668294322"/>
        </patternFill>
      </fill>
    </dxf>
    <dxf>
      <fill>
        <patternFill>
          <bgColor theme="8" tint="0.79998168889431442"/>
        </patternFill>
      </fill>
    </dxf>
    <dxf>
      <fill>
        <patternFill>
          <bgColor rgb="FF66FFFF"/>
        </patternFill>
      </fill>
    </dxf>
    <dxf>
      <fill>
        <patternFill>
          <bgColor theme="8" tint="-0.499984740745262"/>
        </patternFill>
      </fill>
    </dxf>
    <dxf>
      <fill>
        <patternFill>
          <bgColor theme="9" tint="-0.499984740745262"/>
        </patternFill>
      </fill>
    </dxf>
    <dxf>
      <fill>
        <patternFill>
          <bgColor rgb="FFB889DB"/>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8" tint="-0.499984740745262"/>
        </patternFill>
      </fill>
    </dxf>
    <dxf>
      <fill>
        <patternFill>
          <bgColor rgb="FFFF7C80"/>
        </patternFill>
      </fill>
    </dxf>
    <dxf>
      <fill>
        <patternFill>
          <bgColor theme="9" tint="-0.499984740745262"/>
        </patternFill>
      </fill>
    </dxf>
    <dxf>
      <fill>
        <patternFill>
          <bgColor theme="8" tint="-0.499984740745262"/>
        </patternFill>
      </fill>
    </dxf>
    <dxf>
      <fill>
        <patternFill>
          <bgColor rgb="FF66FFFF"/>
        </patternFill>
      </fill>
    </dxf>
    <dxf>
      <fill>
        <patternFill>
          <bgColor theme="7" tint="0.39994506668294322"/>
        </patternFill>
      </fill>
    </dxf>
    <dxf>
      <fill>
        <patternFill>
          <bgColor theme="2" tint="-9.9948118533890809E-2"/>
        </patternFill>
      </fill>
    </dxf>
    <dxf>
      <fill>
        <patternFill>
          <bgColor rgb="FFFF7C80"/>
        </patternFill>
      </fill>
    </dxf>
    <dxf>
      <fill>
        <patternFill>
          <bgColor theme="7" tint="0.39994506668294322"/>
        </patternFill>
      </fill>
    </dxf>
    <dxf>
      <fill>
        <patternFill>
          <bgColor rgb="FFB889DB"/>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7" tint="0.39994506668294322"/>
        </patternFill>
      </fill>
    </dxf>
    <dxf>
      <fill>
        <patternFill>
          <bgColor rgb="FFFF7C80"/>
        </patternFill>
      </fill>
    </dxf>
    <dxf>
      <fill>
        <patternFill>
          <bgColor theme="8" tint="-0.24994659260841701"/>
        </patternFill>
      </fill>
    </dxf>
    <dxf>
      <fill>
        <patternFill>
          <bgColor theme="8" tint="-0.499984740745262"/>
        </patternFill>
      </fill>
    </dxf>
    <dxf>
      <fill>
        <patternFill>
          <bgColor theme="7" tint="0.39994506668294322"/>
        </patternFill>
      </fill>
    </dxf>
    <dxf>
      <fill>
        <patternFill>
          <bgColor rgb="FFFF7C80"/>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4" tint="-0.499984740745262"/>
        </patternFill>
      </fill>
    </dxf>
    <dxf>
      <fill>
        <patternFill>
          <bgColor theme="8" tint="0.59996337778862885"/>
        </patternFill>
      </fill>
    </dxf>
    <dxf>
      <fill>
        <patternFill>
          <bgColor theme="9" tint="0.39994506668294322"/>
        </patternFill>
      </fill>
    </dxf>
    <dxf>
      <fill>
        <patternFill>
          <bgColor theme="8" tint="-0.24994659260841701"/>
        </patternFill>
      </fill>
    </dxf>
    <dxf>
      <fill>
        <patternFill>
          <bgColor theme="8" tint="0.59996337778862885"/>
        </patternFill>
      </fill>
    </dxf>
    <dxf>
      <fill>
        <patternFill>
          <bgColor rgb="FF66FFFF"/>
        </patternFill>
      </fill>
    </dxf>
    <dxf>
      <fill>
        <patternFill>
          <bgColor theme="8" tint="0.79998168889431442"/>
        </patternFill>
      </fill>
    </dxf>
    <dxf>
      <fill>
        <patternFill>
          <bgColor theme="8" tint="0.79998168889431442"/>
        </patternFill>
      </fill>
    </dxf>
    <dxf>
      <fill>
        <patternFill>
          <bgColor theme="9" tint="-0.499984740745262"/>
        </patternFill>
      </fill>
    </dxf>
    <dxf>
      <fill>
        <patternFill>
          <bgColor theme="8" tint="-0.49998474074526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rgb="FFFF7C80"/>
        </patternFill>
      </fill>
    </dxf>
    <dxf>
      <fill>
        <patternFill>
          <bgColor theme="2" tint="-9.9948118533890809E-2"/>
        </patternFill>
      </fill>
    </dxf>
    <dxf>
      <fill>
        <patternFill>
          <bgColor theme="8" tint="-0.49998474074526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9"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7" tint="0.39994506668294322"/>
        </patternFill>
      </fill>
    </dxf>
    <dxf>
      <fill>
        <patternFill>
          <bgColor theme="9" tint="0.39994506668294322"/>
        </patternFill>
      </fill>
    </dxf>
    <dxf>
      <fill>
        <patternFill>
          <bgColor theme="8" tint="-0.499984740745262"/>
        </patternFill>
      </fill>
    </dxf>
    <dxf>
      <fill>
        <patternFill>
          <bgColor rgb="FF66FFFF"/>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rgb="FFFF7C80"/>
        </patternFill>
      </fill>
    </dxf>
    <dxf>
      <fill>
        <patternFill>
          <bgColor theme="8" tint="-0.499984740745262"/>
        </patternFill>
      </fill>
    </dxf>
    <dxf>
      <fill>
        <patternFill>
          <bgColor theme="7" tint="0.3999450666829432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8" tint="0.59996337778862885"/>
        </patternFill>
      </fill>
    </dxf>
    <dxf>
      <fill>
        <patternFill>
          <bgColor theme="9" tint="0.39994506668294322"/>
        </patternFill>
      </fill>
    </dxf>
    <dxf>
      <fill>
        <patternFill>
          <bgColor theme="8" tint="-0.24994659260841701"/>
        </patternFill>
      </fill>
    </dxf>
    <dxf>
      <fill>
        <patternFill>
          <bgColor rgb="FFB889DB"/>
        </patternFill>
      </fill>
    </dxf>
    <dxf>
      <fill>
        <patternFill>
          <bgColor theme="8" tint="0.79998168889431442"/>
        </patternFill>
      </fill>
    </dxf>
    <dxf>
      <fill>
        <patternFill>
          <bgColor rgb="FF66FFFF"/>
        </patternFill>
      </fill>
    </dxf>
    <dxf>
      <fill>
        <patternFill>
          <bgColor theme="8" tint="-0.499984740745262"/>
        </patternFill>
      </fill>
    </dxf>
    <dxf>
      <fill>
        <patternFill>
          <bgColor theme="8" tint="-0.24994659260841701"/>
        </patternFill>
      </fill>
    </dxf>
    <dxf>
      <fill>
        <patternFill>
          <bgColor theme="2" tint="-9.9948118533890809E-2"/>
        </patternFill>
      </fill>
    </dxf>
    <dxf>
      <fill>
        <patternFill>
          <bgColor theme="8" tint="0.59996337778862885"/>
        </patternFill>
      </fill>
    </dxf>
    <dxf>
      <fill>
        <patternFill>
          <bgColor theme="7" tint="0.39994506668294322"/>
        </patternFill>
      </fill>
    </dxf>
    <dxf>
      <fill>
        <patternFill>
          <bgColor rgb="FFFF7C80"/>
        </patternFill>
      </fill>
    </dxf>
    <dxf>
      <fill>
        <patternFill>
          <bgColor theme="8" tint="0.79998168889431442"/>
        </patternFill>
      </fill>
    </dxf>
    <dxf>
      <fill>
        <patternFill>
          <bgColor rgb="FFFF7C80"/>
        </patternFill>
      </fill>
    </dxf>
    <dxf>
      <fill>
        <patternFill>
          <bgColor theme="7" tint="0.39994506668294322"/>
        </patternFill>
      </fill>
    </dxf>
    <dxf>
      <fill>
        <patternFill>
          <bgColor theme="8" tint="-0.499984740745262"/>
        </patternFill>
      </fill>
    </dxf>
    <dxf>
      <fill>
        <patternFill>
          <bgColor theme="7" tint="0.39994506668294322"/>
        </patternFill>
      </fill>
    </dxf>
    <dxf>
      <fill>
        <patternFill>
          <bgColor theme="8" tint="-0.499984740745262"/>
        </patternFill>
      </fill>
    </dxf>
    <dxf>
      <fill>
        <patternFill>
          <bgColor theme="4" tint="-0.49998474074526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2" tint="-9.9948118533890809E-2"/>
        </patternFill>
      </fill>
    </dxf>
    <dxf>
      <fill>
        <patternFill>
          <bgColor theme="8" tint="-0.499984740745262"/>
        </patternFill>
      </fill>
    </dxf>
    <dxf>
      <fill>
        <patternFill>
          <bgColor rgb="FFFF7C80"/>
        </patternFill>
      </fill>
    </dxf>
    <dxf>
      <fill>
        <patternFill>
          <bgColor rgb="FFFF7C80"/>
        </patternFill>
      </fill>
    </dxf>
    <dxf>
      <fill>
        <patternFill>
          <bgColor rgb="FF66FFFF"/>
        </patternFill>
      </fill>
    </dxf>
    <dxf>
      <fill>
        <patternFill>
          <bgColor theme="8" tint="-0.24994659260841701"/>
        </patternFill>
      </fill>
    </dxf>
    <dxf>
      <fill>
        <patternFill>
          <bgColor theme="9" tint="-0.499984740745262"/>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8" tint="0.59996337778862885"/>
        </patternFill>
      </fill>
    </dxf>
    <dxf>
      <fill>
        <patternFill>
          <bgColor theme="9" tint="-0.499984740745262"/>
        </patternFill>
      </fill>
    </dxf>
    <dxf>
      <fill>
        <patternFill>
          <bgColor theme="7" tint="0.39994506668294322"/>
        </patternFill>
      </fill>
    </dxf>
    <dxf>
      <fill>
        <patternFill>
          <bgColor theme="8" tint="-0.499984740745262"/>
        </patternFill>
      </fill>
    </dxf>
    <dxf>
      <fill>
        <patternFill>
          <bgColor theme="8" tint="0.59996337778862885"/>
        </patternFill>
      </fill>
    </dxf>
    <dxf>
      <fill>
        <patternFill>
          <bgColor rgb="FFFF7C80"/>
        </patternFill>
      </fill>
    </dxf>
    <dxf>
      <fill>
        <patternFill>
          <bgColor theme="8" tint="0.79998168889431442"/>
        </patternFill>
      </fill>
    </dxf>
    <dxf>
      <fill>
        <patternFill>
          <bgColor theme="8" tint="0.79998168889431442"/>
        </patternFill>
      </fill>
    </dxf>
    <dxf>
      <fill>
        <patternFill>
          <bgColor theme="7" tint="0.39994506668294322"/>
        </patternFill>
      </fill>
    </dxf>
    <dxf>
      <fill>
        <patternFill>
          <bgColor rgb="FFFF7C80"/>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rgb="FFFF7C80"/>
        </patternFill>
      </fill>
    </dxf>
    <dxf>
      <fill>
        <patternFill>
          <bgColor rgb="FFFF7C80"/>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8" tint="-0.49998474074526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7" tint="0.39994506668294322"/>
        </patternFill>
      </fill>
    </dxf>
    <dxf>
      <fill>
        <patternFill>
          <bgColor theme="8"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7" tint="0.39994506668294322"/>
        </patternFill>
      </fill>
    </dxf>
    <dxf>
      <fill>
        <patternFill>
          <bgColor theme="7" tint="0.39994506668294322"/>
        </patternFill>
      </fill>
    </dxf>
    <dxf>
      <fill>
        <patternFill>
          <bgColor theme="8" tint="0.79998168889431442"/>
        </patternFill>
      </fill>
    </dxf>
    <dxf>
      <fill>
        <patternFill>
          <bgColor theme="8" tint="-0.499984740745262"/>
        </patternFill>
      </fill>
    </dxf>
    <dxf>
      <fill>
        <patternFill>
          <bgColor theme="8" tint="0.7999816888943144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7" tint="0.39994506668294322"/>
        </patternFill>
      </fill>
    </dxf>
    <dxf>
      <fill>
        <patternFill>
          <bgColor theme="8"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8"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7" tint="0.39994506668294322"/>
        </patternFill>
      </fill>
    </dxf>
    <dxf>
      <fill>
        <patternFill>
          <bgColor theme="8"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B889DB"/>
        </patternFill>
      </fill>
    </dxf>
    <dxf>
      <fill>
        <patternFill>
          <bgColor theme="9" tint="0.39994506668294322"/>
        </patternFill>
      </fill>
    </dxf>
    <dxf>
      <fill>
        <patternFill>
          <bgColor theme="8" tint="-0.49998474074526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rgb="FFFF7C80"/>
        </patternFill>
      </fill>
    </dxf>
    <dxf>
      <fill>
        <patternFill>
          <bgColor theme="2" tint="-9.9948118533890809E-2"/>
        </patternFill>
      </fill>
    </dxf>
    <dxf>
      <fill>
        <patternFill>
          <bgColor theme="8" tint="-0.499984740745262"/>
        </patternFill>
      </fill>
    </dxf>
    <dxf>
      <fill>
        <patternFill>
          <bgColor rgb="FFFF7C80"/>
        </patternFill>
      </fill>
    </dxf>
    <dxf>
      <fill>
        <patternFill>
          <bgColor theme="7" tint="0.39994506668294322"/>
        </patternFill>
      </fill>
    </dxf>
    <dxf>
      <fill>
        <patternFill>
          <bgColor theme="4" tint="-0.49998474074526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7" tint="0.39994506668294322"/>
        </patternFill>
      </fill>
    </dxf>
    <dxf>
      <fill>
        <patternFill>
          <bgColor rgb="FF66FFFF"/>
        </patternFill>
      </fill>
    </dxf>
    <dxf>
      <fill>
        <patternFill>
          <bgColor rgb="FFFF7C80"/>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9" tint="-0.499984740745262"/>
        </patternFill>
      </fill>
    </dxf>
    <dxf>
      <fill>
        <patternFill>
          <bgColor theme="8" tint="-0.499984740745262"/>
        </patternFill>
      </fill>
    </dxf>
    <dxf>
      <fill>
        <patternFill>
          <bgColor theme="4" tint="-0.499984740745262"/>
        </patternFill>
      </fill>
    </dxf>
    <dxf>
      <fill>
        <patternFill>
          <bgColor theme="9" tint="-0.499984740745262"/>
        </patternFill>
      </fill>
    </dxf>
    <dxf>
      <fill>
        <patternFill>
          <bgColor theme="7" tint="0.39994506668294322"/>
        </patternFill>
      </fill>
    </dxf>
    <dxf>
      <fill>
        <patternFill>
          <bgColor theme="8" tint="-0.24994659260841701"/>
        </patternFill>
      </fill>
    </dxf>
    <dxf>
      <fill>
        <patternFill>
          <bgColor theme="9" tint="0.39994506668294322"/>
        </patternFill>
      </fill>
    </dxf>
    <dxf>
      <fill>
        <patternFill>
          <bgColor theme="8" tint="0.79998168889431442"/>
        </patternFill>
      </fill>
    </dxf>
    <dxf>
      <fill>
        <patternFill>
          <bgColor rgb="FFB889DB"/>
        </patternFill>
      </fill>
    </dxf>
    <dxf>
      <fill>
        <patternFill>
          <bgColor rgb="FFFF7C80"/>
        </patternFill>
      </fill>
    </dxf>
    <dxf>
      <fill>
        <patternFill>
          <bgColor theme="8" tint="0.59996337778862885"/>
        </patternFill>
      </fill>
    </dxf>
    <dxf>
      <fill>
        <patternFill>
          <bgColor theme="8" tint="-0.499984740745262"/>
        </patternFill>
      </fill>
    </dxf>
    <dxf>
      <fill>
        <patternFill>
          <bgColor rgb="FFFF7C80"/>
        </patternFill>
      </fill>
    </dxf>
    <dxf>
      <fill>
        <patternFill>
          <bgColor theme="9" tint="0.39994506668294322"/>
        </patternFill>
      </fill>
    </dxf>
    <dxf>
      <fill>
        <patternFill>
          <bgColor theme="9" tint="0.39994506668294322"/>
        </patternFill>
      </fill>
    </dxf>
    <dxf>
      <fill>
        <patternFill>
          <bgColor rgb="FF66FFFF"/>
        </patternFill>
      </fill>
    </dxf>
    <dxf>
      <fill>
        <patternFill>
          <bgColor theme="8" tint="0.59996337778862885"/>
        </patternFill>
      </fill>
    </dxf>
    <dxf>
      <fill>
        <patternFill>
          <bgColor theme="8" tint="-0.24994659260841701"/>
        </patternFill>
      </fill>
    </dxf>
    <dxf>
      <fill>
        <patternFill>
          <bgColor theme="2" tint="-9.9948118533890809E-2"/>
        </patternFill>
      </fill>
    </dxf>
    <dxf>
      <fill>
        <patternFill>
          <bgColor theme="7" tint="0.39994506668294322"/>
        </patternFill>
      </fill>
    </dxf>
    <dxf>
      <fill>
        <patternFill>
          <bgColor rgb="FFB889DB"/>
        </patternFill>
      </fill>
    </dxf>
    <dxf>
      <fill>
        <patternFill>
          <bgColor theme="8" tint="-0.499984740745262"/>
        </patternFill>
      </fill>
    </dxf>
    <dxf>
      <fill>
        <patternFill>
          <bgColor rgb="FFFF7C80"/>
        </patternFill>
      </fill>
    </dxf>
    <dxf>
      <fill>
        <patternFill>
          <bgColor theme="9" tint="0.39994506668294322"/>
        </patternFill>
      </fill>
    </dxf>
    <dxf>
      <fill>
        <patternFill>
          <bgColor theme="8" tint="0.79998168889431442"/>
        </patternFill>
      </fill>
    </dxf>
    <dxf>
      <fill>
        <patternFill>
          <bgColor rgb="FFB889DB"/>
        </patternFill>
      </fill>
    </dxf>
    <dxf>
      <fill>
        <patternFill>
          <bgColor theme="7" tint="0.39994506668294322"/>
        </patternFill>
      </fill>
    </dxf>
    <dxf>
      <fill>
        <patternFill>
          <bgColor rgb="FFFF7C80"/>
        </patternFill>
      </fill>
    </dxf>
    <dxf>
      <fill>
        <patternFill>
          <bgColor theme="9" tint="0.39994506668294322"/>
        </patternFill>
      </fill>
    </dxf>
    <dxf>
      <fill>
        <patternFill>
          <bgColor theme="8" tint="-0.499984740745262"/>
        </patternFill>
      </fill>
    </dxf>
    <dxf>
      <fill>
        <patternFill>
          <bgColor theme="2" tint="-9.9948118533890809E-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66FFFF"/>
        </patternFill>
      </fill>
    </dxf>
    <dxf>
      <fill>
        <patternFill>
          <bgColor theme="8" tint="-0.499984740745262"/>
        </patternFill>
      </fill>
    </dxf>
    <dxf>
      <fill>
        <patternFill>
          <bgColor theme="2" tint="-9.9948118533890809E-2"/>
        </patternFill>
      </fill>
    </dxf>
    <dxf>
      <fill>
        <patternFill>
          <bgColor theme="8" tint="-0.24994659260841701"/>
        </patternFill>
      </fill>
    </dxf>
    <dxf>
      <fill>
        <patternFill>
          <bgColor theme="7" tint="0.39994506668294322"/>
        </patternFill>
      </fill>
    </dxf>
    <dxf>
      <fill>
        <patternFill>
          <bgColor theme="8" tint="0.79998168889431442"/>
        </patternFill>
      </fill>
    </dxf>
    <dxf>
      <fill>
        <patternFill>
          <bgColor theme="9" tint="0.39994506668294322"/>
        </patternFill>
      </fill>
    </dxf>
    <dxf>
      <fill>
        <patternFill>
          <bgColor rgb="FFFF7C80"/>
        </patternFill>
      </fill>
    </dxf>
    <dxf>
      <fill>
        <patternFill>
          <bgColor theme="8" tint="0.59996337778862885"/>
        </patternFill>
      </fill>
    </dxf>
    <dxf>
      <fill>
        <patternFill>
          <bgColor rgb="FFB889DB"/>
        </patternFill>
      </fill>
    </dxf>
    <dxf>
      <fill>
        <patternFill>
          <bgColor theme="8" tint="0.79998168889431442"/>
        </patternFill>
      </fill>
    </dxf>
    <dxf>
      <fill>
        <patternFill>
          <bgColor rgb="FFFF7C80"/>
        </patternFill>
      </fill>
    </dxf>
    <dxf>
      <fill>
        <patternFill>
          <bgColor theme="7" tint="0.39994506668294322"/>
        </patternFill>
      </fill>
    </dxf>
    <dxf>
      <fill>
        <patternFill>
          <bgColor theme="7" tint="0.39994506668294322"/>
        </patternFill>
      </fill>
    </dxf>
    <dxf>
      <fill>
        <patternFill>
          <bgColor rgb="FFFF7C80"/>
        </patternFill>
      </fill>
    </dxf>
    <dxf>
      <fill>
        <patternFill>
          <bgColor rgb="FF66FFFF"/>
        </patternFill>
      </fill>
    </dxf>
    <dxf>
      <fill>
        <patternFill>
          <bgColor theme="8" tint="0.59996337778862885"/>
        </patternFill>
      </fill>
    </dxf>
    <dxf>
      <fill>
        <patternFill>
          <bgColor theme="8" tint="0.79998168889431442"/>
        </patternFill>
      </fill>
    </dxf>
    <dxf>
      <fill>
        <patternFill>
          <bgColor rgb="FF66FFFF"/>
        </patternFill>
      </fill>
    </dxf>
    <dxf>
      <fill>
        <patternFill>
          <bgColor theme="9" tint="0.39994506668294322"/>
        </patternFill>
      </fill>
    </dxf>
    <dxf>
      <fill>
        <patternFill>
          <bgColor theme="8" tint="-0.499984740745262"/>
        </patternFill>
      </fill>
    </dxf>
    <dxf>
      <fill>
        <patternFill>
          <bgColor theme="9"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66FFFF"/>
        </patternFill>
      </fill>
    </dxf>
    <dxf>
      <fill>
        <patternFill>
          <bgColor theme="9" tint="0.39994506668294322"/>
        </patternFill>
      </fill>
    </dxf>
    <dxf>
      <fill>
        <patternFill>
          <bgColor theme="8" tint="-0.499984740745262"/>
        </patternFill>
      </fill>
    </dxf>
    <dxf>
      <fill>
        <patternFill>
          <bgColor theme="9" tint="-0.499984740745262"/>
        </patternFill>
      </fill>
    </dxf>
    <dxf>
      <fill>
        <patternFill>
          <bgColor theme="4" tint="-0.499984740745262"/>
        </patternFill>
      </fill>
    </dxf>
    <dxf>
      <fill>
        <patternFill>
          <bgColor theme="7" tint="0.3999450666829432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66FFFF"/>
        </patternFill>
      </fill>
    </dxf>
    <dxf>
      <fill>
        <patternFill>
          <bgColor theme="9" tint="0.39994506668294322"/>
        </patternFill>
      </fill>
    </dxf>
    <dxf>
      <fill>
        <patternFill>
          <bgColor theme="2" tint="-9.9948118533890809E-2"/>
        </patternFill>
      </fill>
    </dxf>
    <dxf>
      <fill>
        <patternFill>
          <bgColor rgb="FFB889DB"/>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rgb="FF66FFFF"/>
        </patternFill>
      </fill>
    </dxf>
    <dxf>
      <fill>
        <patternFill>
          <bgColor theme="9" tint="0.3999450666829432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rgb="FF66FFFF"/>
        </patternFill>
      </fill>
    </dxf>
    <dxf>
      <fill>
        <patternFill>
          <bgColor theme="8" tint="-0.499984740745262"/>
        </patternFill>
      </fill>
    </dxf>
    <dxf>
      <fill>
        <patternFill>
          <bgColor theme="2" tint="-9.9948118533890809E-2"/>
        </patternFill>
      </fill>
    </dxf>
    <dxf>
      <fill>
        <patternFill>
          <bgColor rgb="FFFF7C80"/>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9" tint="0.39994506668294322"/>
        </patternFill>
      </fill>
    </dxf>
    <dxf>
      <fill>
        <patternFill>
          <bgColor theme="4" tint="-0.499984740745262"/>
        </patternFill>
      </fill>
    </dxf>
    <dxf>
      <fill>
        <patternFill>
          <bgColor rgb="FFFF7C80"/>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8" tint="-0.499984740745262"/>
        </patternFill>
      </fill>
    </dxf>
    <dxf>
      <fill>
        <patternFill>
          <bgColor theme="9" tint="0.3999450666829432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8" tint="-0.499984740745262"/>
        </patternFill>
      </fill>
    </dxf>
    <dxf>
      <fill>
        <patternFill>
          <bgColor theme="9" tint="0.39994506668294322"/>
        </patternFill>
      </fill>
    </dxf>
    <dxf>
      <fill>
        <patternFill>
          <bgColor theme="4" tint="-0.49998474074526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8"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8" tint="-0.499984740745262"/>
        </patternFill>
      </fill>
    </dxf>
    <dxf>
      <fill>
        <patternFill>
          <bgColor theme="9" tint="0.39994506668294322"/>
        </patternFill>
      </fill>
    </dxf>
    <dxf>
      <fill>
        <patternFill>
          <bgColor theme="4" tint="-0.499984740745262"/>
        </patternFill>
      </fill>
    </dxf>
    <dxf>
      <fill>
        <patternFill>
          <bgColor theme="8" tint="-0.24994659260841701"/>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66FFFF"/>
        </patternFill>
      </fill>
    </dxf>
    <dxf>
      <fill>
        <patternFill>
          <bgColor theme="9" tint="0.39994506668294322"/>
        </patternFill>
      </fill>
    </dxf>
    <dxf>
      <fill>
        <patternFill>
          <bgColor theme="8" tint="-0.499984740745262"/>
        </patternFill>
      </fill>
    </dxf>
    <dxf>
      <fill>
        <patternFill>
          <bgColor theme="9" tint="-0.499984740745262"/>
        </patternFill>
      </fill>
    </dxf>
    <dxf>
      <fill>
        <patternFill>
          <bgColor theme="4" tint="-0.499984740745262"/>
        </patternFill>
      </fill>
    </dxf>
    <dxf>
      <fill>
        <patternFill>
          <bgColor theme="7" tint="0.3999450666829432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8" tint="0.59996337778862885"/>
        </patternFill>
      </fill>
    </dxf>
    <dxf>
      <fill>
        <patternFill>
          <bgColor theme="8" tint="0.79998168889431442"/>
        </patternFill>
      </fill>
    </dxf>
    <dxf>
      <fill>
        <patternFill>
          <bgColor rgb="FFB889DB"/>
        </patternFill>
      </fill>
    </dxf>
    <dxf>
      <fill>
        <patternFill>
          <bgColor rgb="FFFF7C80"/>
        </patternFill>
      </fill>
    </dxf>
    <dxf>
      <fill>
        <patternFill>
          <bgColor theme="8" tint="-0.499984740745262"/>
        </patternFill>
      </fill>
    </dxf>
    <dxf>
      <fill>
        <patternFill>
          <bgColor theme="4" tint="-0.499984740745262"/>
        </patternFill>
      </fill>
    </dxf>
    <dxf>
      <fill>
        <patternFill>
          <bgColor theme="8" tint="-0.499984740745262"/>
        </patternFill>
      </fill>
    </dxf>
    <dxf>
      <fill>
        <patternFill>
          <bgColor theme="8" tint="-0.499984740745262"/>
        </patternFill>
      </fill>
    </dxf>
    <dxf>
      <fill>
        <patternFill>
          <bgColor theme="4" tint="-0.499984740745262"/>
        </patternFill>
      </fill>
    </dxf>
    <dxf>
      <fill>
        <patternFill>
          <bgColor theme="9" tint="0.3999450666829432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8" tint="-0.499984740745262"/>
        </patternFill>
      </fill>
    </dxf>
    <dxf>
      <fill>
        <patternFill>
          <bgColor theme="9"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7" tint="0.39994506668294322"/>
        </patternFill>
      </fill>
    </dxf>
    <dxf>
      <fill>
        <patternFill>
          <bgColor rgb="FFFF7C80"/>
        </patternFill>
      </fill>
    </dxf>
    <dxf>
      <fill>
        <patternFill>
          <bgColor rgb="FF66FFFF"/>
        </patternFill>
      </fill>
    </dxf>
    <dxf>
      <fill>
        <patternFill>
          <bgColor theme="8" tint="-0.499984740745262"/>
        </patternFill>
      </fill>
    </dxf>
    <dxf>
      <fill>
        <patternFill>
          <bgColor rgb="FFFF7C80"/>
        </patternFill>
      </fill>
    </dxf>
    <dxf>
      <fill>
        <patternFill>
          <bgColor theme="8" tint="0.59996337778862885"/>
        </patternFill>
      </fill>
    </dxf>
    <dxf>
      <fill>
        <patternFill>
          <bgColor theme="8" tint="0.79998168889431442"/>
        </patternFill>
      </fill>
    </dxf>
    <dxf>
      <fill>
        <patternFill>
          <bgColor theme="9" tint="0.3999450666829432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499984740745262"/>
        </patternFill>
      </fill>
    </dxf>
    <dxf>
      <fill>
        <patternFill>
          <bgColor theme="2" tint="-9.9948118533890809E-2"/>
        </patternFill>
      </fill>
    </dxf>
    <dxf>
      <fill>
        <patternFill>
          <bgColor theme="8" tint="-0.24994659260841701"/>
        </patternFill>
      </fill>
    </dxf>
    <dxf>
      <fill>
        <patternFill>
          <bgColor rgb="FFFF7C80"/>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rgb="FF66FFFF"/>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9" tint="0.3999450666829432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8" tint="-0.49998474074526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rgb="FFB889DB"/>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rgb="FFFF7C80"/>
        </patternFill>
      </fill>
    </dxf>
    <dxf>
      <fill>
        <patternFill>
          <bgColor theme="2" tint="-9.9948118533890809E-2"/>
        </patternFill>
      </fill>
    </dxf>
    <dxf>
      <fill>
        <patternFill>
          <bgColor theme="8" tint="-0.499984740745262"/>
        </patternFill>
      </fill>
    </dxf>
    <dxf>
      <fill>
        <patternFill>
          <bgColor rgb="FF66FFFF"/>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rgb="FF66FFFF"/>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rgb="FF66FFFF"/>
        </patternFill>
      </fill>
    </dxf>
    <dxf>
      <fill>
        <patternFill>
          <bgColor theme="9" tint="0.3999450666829432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rgb="FFFF7C80"/>
        </patternFill>
      </fill>
    </dxf>
    <dxf>
      <fill>
        <patternFill>
          <bgColor theme="8" tint="-0.499984740745262"/>
        </patternFill>
      </fill>
    </dxf>
    <dxf>
      <fill>
        <patternFill>
          <bgColor theme="7" tint="0.39994506668294322"/>
        </patternFill>
      </fill>
    </dxf>
    <dxf>
      <fill>
        <patternFill>
          <bgColor rgb="FFFF7C80"/>
        </patternFill>
      </fill>
    </dxf>
    <dxf>
      <fill>
        <patternFill>
          <bgColor theme="8" tint="0.59996337778862885"/>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rgb="FFFF7C80"/>
        </patternFill>
      </fill>
    </dxf>
    <dxf>
      <fill>
        <patternFill>
          <bgColor theme="2" tint="-9.9948118533890809E-2"/>
        </patternFill>
      </fill>
    </dxf>
    <dxf>
      <fill>
        <patternFill>
          <bgColor theme="8" tint="-0.499984740745262"/>
        </patternFill>
      </fill>
    </dxf>
    <dxf>
      <fill>
        <patternFill>
          <bgColor rgb="FF66FFFF"/>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9" tint="0.39994506668294322"/>
        </patternFill>
      </fill>
    </dxf>
    <dxf>
      <fill>
        <patternFill>
          <bgColor rgb="FF66FFFF"/>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9" tint="0.3999450666829432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8" tint="-0.499984740745262"/>
        </patternFill>
      </fill>
    </dxf>
    <dxf>
      <fill>
        <patternFill>
          <bgColor theme="8" tint="0.7999816888943144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rgb="FFB889DB"/>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rgb="FFFF7C80"/>
        </patternFill>
      </fill>
    </dxf>
    <dxf>
      <fill>
        <patternFill>
          <bgColor theme="2" tint="-9.9948118533890809E-2"/>
        </patternFill>
      </fill>
    </dxf>
    <dxf>
      <fill>
        <patternFill>
          <bgColor theme="8" tint="-0.499984740745262"/>
        </patternFill>
      </fill>
    </dxf>
    <dxf>
      <fill>
        <patternFill>
          <bgColor rgb="FF66FFFF"/>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9" tint="0.39994506668294322"/>
        </patternFill>
      </fill>
    </dxf>
    <dxf>
      <fill>
        <patternFill>
          <bgColor rgb="FFFF7C80"/>
        </patternFill>
      </fill>
    </dxf>
    <dxf>
      <fill>
        <patternFill>
          <bgColor theme="8" tint="0.59996337778862885"/>
        </patternFill>
      </fill>
    </dxf>
    <dxf>
      <fill>
        <patternFill>
          <bgColor theme="7" tint="0.39994506668294322"/>
        </patternFill>
      </fill>
    </dxf>
    <dxf>
      <fill>
        <patternFill>
          <bgColor rgb="FF66FFFF"/>
        </patternFill>
      </fill>
    </dxf>
    <dxf>
      <fill>
        <patternFill>
          <bgColor theme="8" tint="-0.499984740745262"/>
        </patternFill>
      </fill>
    </dxf>
    <dxf>
      <fill>
        <patternFill>
          <bgColor rgb="FFFF7C80"/>
        </patternFill>
      </fill>
    </dxf>
    <dxf>
      <fill>
        <patternFill>
          <bgColor theme="8" tint="0.79998168889431442"/>
        </patternFill>
      </fill>
    </dxf>
    <dxf>
      <fill>
        <patternFill>
          <bgColor theme="8" tint="-0.24994659260841701"/>
        </patternFill>
      </fill>
    </dxf>
    <dxf>
      <fill>
        <patternFill>
          <bgColor theme="8" tint="0.59996337778862885"/>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9" tint="-0.499984740745262"/>
        </patternFill>
      </fill>
    </dxf>
    <dxf>
      <fill>
        <patternFill>
          <bgColor theme="8" tint="0.79998168889431442"/>
        </patternFill>
      </fill>
    </dxf>
    <dxf>
      <fill>
        <patternFill>
          <bgColor rgb="FFFF7C80"/>
        </patternFill>
      </fill>
    </dxf>
    <dxf>
      <fill>
        <patternFill>
          <bgColor theme="7" tint="0.39994506668294322"/>
        </patternFill>
      </fill>
    </dxf>
    <dxf>
      <fill>
        <patternFill>
          <bgColor rgb="FF66FFFF"/>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79998168889431442"/>
        </patternFill>
      </fill>
    </dxf>
    <dxf>
      <fill>
        <patternFill>
          <bgColor theme="8" tint="0.79998168889431442"/>
        </patternFill>
      </fill>
    </dxf>
    <dxf>
      <fill>
        <patternFill>
          <bgColor rgb="FFFF7C80"/>
        </patternFill>
      </fill>
    </dxf>
    <dxf>
      <fill>
        <patternFill>
          <bgColor theme="7" tint="0.39994506668294322"/>
        </patternFill>
      </fill>
    </dxf>
    <dxf>
      <fill>
        <patternFill>
          <bgColor rgb="FF66FFFF"/>
        </patternFill>
      </fill>
    </dxf>
    <dxf>
      <fill>
        <patternFill>
          <bgColor theme="8" tint="-0.499984740745262"/>
        </patternFill>
      </fill>
    </dxf>
    <dxf>
      <fill>
        <patternFill>
          <bgColor theme="2" tint="-9.9948118533890809E-2"/>
        </patternFill>
      </fill>
    </dxf>
    <dxf>
      <fill>
        <patternFill>
          <bgColor rgb="FFFF7C80"/>
        </patternFill>
      </fill>
    </dxf>
    <dxf>
      <fill>
        <patternFill>
          <bgColor theme="8" tint="-0.24994659260841701"/>
        </patternFill>
      </fill>
    </dxf>
    <dxf>
      <fill>
        <patternFill>
          <bgColor theme="8" tint="0.59996337778862885"/>
        </patternFill>
      </fill>
    </dxf>
    <dxf>
      <fill>
        <patternFill>
          <bgColor theme="7" tint="0.3999450666829432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8" tint="0.59996337778862885"/>
        </patternFill>
      </fill>
    </dxf>
    <dxf>
      <fill>
        <patternFill>
          <bgColor theme="8" tint="-0.499984740745262"/>
        </patternFill>
      </fill>
    </dxf>
    <dxf>
      <fill>
        <patternFill>
          <bgColor theme="4" tint="-0.499984740745262"/>
        </patternFill>
      </fill>
    </dxf>
    <dxf>
      <fill>
        <patternFill>
          <bgColor rgb="FFB889DB"/>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9" tint="0.39994506668294322"/>
        </patternFill>
      </fill>
    </dxf>
    <dxf>
      <fill>
        <patternFill>
          <bgColor theme="9" tint="-0.49998474074526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8" tint="-0.499984740745262"/>
        </patternFill>
      </fill>
    </dxf>
    <dxf>
      <fill>
        <patternFill>
          <bgColor theme="8" tint="-0.24994659260841701"/>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8" tint="-0.499984740745262"/>
        </patternFill>
      </fill>
    </dxf>
    <dxf>
      <fill>
        <patternFill>
          <bgColor theme="9" tint="0.39994506668294322"/>
        </patternFill>
      </fill>
    </dxf>
    <dxf>
      <fill>
        <patternFill>
          <bgColor rgb="FF66FFFF"/>
        </patternFill>
      </fill>
    </dxf>
    <dxf>
      <fill>
        <patternFill>
          <bgColor theme="7" tint="0.39994506668294322"/>
        </patternFill>
      </fill>
    </dxf>
    <dxf>
      <fill>
        <patternFill>
          <bgColor rgb="FFFF7C80"/>
        </patternFill>
      </fill>
    </dxf>
    <dxf>
      <fill>
        <patternFill>
          <bgColor theme="4" tint="-0.499984740745262"/>
        </patternFill>
      </fill>
    </dxf>
    <dxf>
      <fill>
        <patternFill>
          <bgColor theme="7" tint="0.3999450666829432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2" tint="-9.9948118533890809E-2"/>
        </patternFill>
      </fill>
    </dxf>
    <dxf>
      <fill>
        <patternFill>
          <bgColor theme="8" tint="-0.499984740745262"/>
        </patternFill>
      </fill>
    </dxf>
    <dxf>
      <fill>
        <patternFill>
          <bgColor theme="9" tint="0.39994506668294322"/>
        </patternFill>
      </fill>
    </dxf>
    <dxf>
      <fill>
        <patternFill>
          <bgColor rgb="FF66FFFF"/>
        </patternFill>
      </fill>
    </dxf>
    <dxf>
      <fill>
        <patternFill>
          <bgColor theme="7" tint="0.39994506668294322"/>
        </patternFill>
      </fill>
    </dxf>
    <dxf>
      <fill>
        <patternFill>
          <bgColor rgb="FFFF7C80"/>
        </patternFill>
      </fill>
    </dxf>
    <dxf>
      <fill>
        <patternFill>
          <bgColor theme="8" tint="0.79998168889431442"/>
        </patternFill>
      </fill>
    </dxf>
    <dxf>
      <fill>
        <patternFill>
          <bgColor rgb="FFB889DB"/>
        </patternFill>
      </fill>
    </dxf>
    <dxf>
      <fill>
        <patternFill>
          <bgColor theme="8" tint="-0.24994659260841701"/>
        </patternFill>
      </fill>
    </dxf>
    <dxf>
      <fill>
        <patternFill>
          <bgColor theme="8" tint="0.59996337778862885"/>
        </patternFill>
      </fill>
    </dxf>
    <dxf>
      <fill>
        <patternFill>
          <bgColor theme="8" tint="-0.24994659260841701"/>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9" tint="0.3999450666829432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59996337778862885"/>
        </patternFill>
      </fill>
    </dxf>
    <dxf>
      <fill>
        <patternFill>
          <bgColor theme="8" tint="0.79998168889431442"/>
        </patternFill>
      </fill>
    </dxf>
    <dxf>
      <fill>
        <patternFill>
          <bgColor rgb="FFFF7C80"/>
        </patternFill>
      </fill>
    </dxf>
    <dxf>
      <fill>
        <patternFill>
          <bgColor theme="8" tint="-0.499984740745262"/>
        </patternFill>
      </fill>
    </dxf>
    <dxf>
      <fill>
        <patternFill>
          <bgColor rgb="FF66FFFF"/>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rgb="FFB889DB"/>
        </patternFill>
      </fill>
    </dxf>
    <dxf>
      <fill>
        <patternFill>
          <bgColor theme="9" tint="0.39994506668294322"/>
        </patternFill>
      </fill>
    </dxf>
    <dxf>
      <fill>
        <patternFill>
          <bgColor theme="9" tint="0.39994506668294322"/>
        </patternFill>
      </fill>
    </dxf>
    <dxf>
      <fill>
        <patternFill>
          <bgColor theme="4" tint="-0.499984740745262"/>
        </patternFill>
      </fill>
    </dxf>
    <dxf>
      <fill>
        <patternFill>
          <bgColor theme="7" tint="0.39994506668294322"/>
        </patternFill>
      </fill>
    </dxf>
    <dxf>
      <fill>
        <patternFill>
          <bgColor rgb="FFFF7C80"/>
        </patternFill>
      </fill>
    </dxf>
    <dxf>
      <fill>
        <patternFill>
          <bgColor theme="2" tint="-9.9948118533890809E-2"/>
        </patternFill>
      </fill>
    </dxf>
    <dxf>
      <fill>
        <patternFill>
          <bgColor theme="8" tint="-0.499984740745262"/>
        </patternFill>
      </fill>
    </dxf>
    <dxf>
      <fill>
        <patternFill>
          <bgColor rgb="FFFF7C80"/>
        </patternFill>
      </fill>
    </dxf>
    <dxf>
      <fill>
        <patternFill>
          <bgColor theme="8" tint="0.59996337778862885"/>
        </patternFill>
      </fill>
    </dxf>
    <dxf>
      <fill>
        <patternFill>
          <bgColor theme="8" tint="-0.24994659260841701"/>
        </patternFill>
      </fill>
    </dxf>
    <dxf>
      <fill>
        <patternFill>
          <bgColor theme="8" tint="0.79998168889431442"/>
        </patternFill>
      </fill>
    </dxf>
    <dxf>
      <fill>
        <patternFill>
          <bgColor theme="9" tint="0.39994506668294322"/>
        </patternFill>
      </fill>
    </dxf>
    <dxf>
      <fill>
        <patternFill>
          <bgColor rgb="FF66FFFF"/>
        </patternFill>
      </fill>
    </dxf>
    <dxf>
      <fill>
        <patternFill>
          <bgColor theme="9" tint="0.39994506668294322"/>
        </patternFill>
      </fill>
    </dxf>
    <dxf>
      <fill>
        <patternFill>
          <bgColor rgb="FF66FFFF"/>
        </patternFill>
      </fill>
    </dxf>
    <dxf>
      <fill>
        <patternFill>
          <bgColor theme="8" tint="-0.49998474074526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9" tint="-0.499984740745262"/>
        </patternFill>
      </fill>
    </dxf>
    <dxf>
      <fill>
        <patternFill>
          <bgColor rgb="FF66FFFF"/>
        </patternFill>
      </fill>
    </dxf>
    <dxf>
      <fill>
        <patternFill>
          <bgColor theme="7" tint="0.39994506668294322"/>
        </patternFill>
      </fill>
    </dxf>
    <dxf>
      <fill>
        <patternFill>
          <bgColor rgb="FFFF7C80"/>
        </patternFill>
      </fill>
    </dxf>
    <dxf>
      <fill>
        <patternFill>
          <bgColor theme="4" tint="-0.499984740745262"/>
        </patternFill>
      </fill>
    </dxf>
    <dxf>
      <fill>
        <patternFill>
          <bgColor theme="9" tint="0.3999450666829432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rgb="FFFF7C80"/>
        </patternFill>
      </fill>
    </dxf>
    <dxf>
      <fill>
        <patternFill>
          <bgColor theme="2" tint="-9.9948118533890809E-2"/>
        </patternFill>
      </fill>
    </dxf>
    <dxf>
      <fill>
        <patternFill>
          <bgColor theme="8" tint="-0.499984740745262"/>
        </patternFill>
      </fill>
    </dxf>
    <dxf>
      <fill>
        <patternFill>
          <bgColor rgb="FF66FFFF"/>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9" tint="0.39994506668294322"/>
        </patternFill>
      </fill>
    </dxf>
    <dxf>
      <fill>
        <patternFill>
          <bgColor rgb="FF66FFFF"/>
        </patternFill>
      </fill>
    </dxf>
    <dxf>
      <fill>
        <patternFill>
          <bgColor theme="7" tint="0.3999450666829432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9" tint="0.39994506668294322"/>
        </patternFill>
      </fill>
    </dxf>
    <dxf>
      <fill>
        <patternFill>
          <bgColor rgb="FFB889DB"/>
        </patternFill>
      </fill>
    </dxf>
    <dxf>
      <fill>
        <patternFill>
          <bgColor theme="2" tint="-9.9948118533890809E-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rgb="FFFF7C80"/>
        </patternFill>
      </fill>
    </dxf>
    <dxf>
      <fill>
        <patternFill>
          <bgColor theme="8" tint="-0.499984740745262"/>
        </patternFill>
      </fill>
    </dxf>
    <dxf>
      <fill>
        <patternFill>
          <bgColor theme="8" tint="0.79998168889431442"/>
        </patternFill>
      </fill>
    </dxf>
    <dxf>
      <fill>
        <patternFill>
          <bgColor theme="7" tint="0.39994506668294322"/>
        </patternFill>
      </fill>
    </dxf>
    <dxf>
      <fill>
        <patternFill>
          <bgColor theme="9" tint="0.39994506668294322"/>
        </patternFill>
      </fill>
    </dxf>
    <dxf>
      <fill>
        <patternFill>
          <bgColor theme="8" tint="-0.499984740745262"/>
        </patternFill>
      </fill>
    </dxf>
    <dxf>
      <fill>
        <patternFill>
          <bgColor theme="9" tint="-0.499984740745262"/>
        </patternFill>
      </fill>
    </dxf>
    <dxf>
      <fill>
        <patternFill>
          <bgColor rgb="FF66FFFF"/>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8" tint="-0.499984740745262"/>
        </patternFill>
      </fill>
    </dxf>
    <dxf>
      <fill>
        <patternFill>
          <bgColor theme="9" tint="-0.499984740745262"/>
        </patternFill>
      </fill>
    </dxf>
    <dxf>
      <fill>
        <patternFill>
          <bgColor theme="8" tint="-0.24994659260841701"/>
        </patternFill>
      </fill>
    </dxf>
    <dxf>
      <fill>
        <patternFill>
          <bgColor theme="7" tint="0.3999450666829432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rgb="FFFF7C80"/>
        </patternFill>
      </fill>
    </dxf>
    <dxf>
      <fill>
        <patternFill>
          <bgColor theme="8" tint="-0.499984740745262"/>
        </patternFill>
      </fill>
    </dxf>
    <dxf>
      <fill>
        <patternFill>
          <bgColor theme="9"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499984740745262"/>
        </patternFill>
      </fill>
    </dxf>
    <dxf>
      <fill>
        <patternFill>
          <bgColor theme="8" tint="0.79998168889431442"/>
        </patternFill>
      </fill>
    </dxf>
    <dxf>
      <fill>
        <patternFill>
          <bgColor theme="8" tint="0.79998168889431442"/>
        </patternFill>
      </fill>
    </dxf>
    <dxf>
      <fill>
        <patternFill>
          <bgColor rgb="FFB889DB"/>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7" tint="0.39994506668294322"/>
        </patternFill>
      </fill>
    </dxf>
    <dxf>
      <fill>
        <patternFill>
          <bgColor rgb="FFFF7C80"/>
        </patternFill>
      </fill>
    </dxf>
    <dxf>
      <fill>
        <patternFill>
          <bgColor rgb="FF66FFFF"/>
        </patternFill>
      </fill>
    </dxf>
    <dxf>
      <fill>
        <patternFill>
          <bgColor theme="9" tint="0.39994506668294322"/>
        </patternFill>
      </fill>
    </dxf>
    <dxf>
      <fill>
        <patternFill>
          <bgColor theme="4" tint="-0.499984740745262"/>
        </patternFill>
      </fill>
    </dxf>
    <dxf>
      <fill>
        <patternFill>
          <bgColor theme="9" tint="-0.499984740745262"/>
        </patternFill>
      </fill>
    </dxf>
    <dxf>
      <fill>
        <patternFill>
          <bgColor theme="8" tint="-0.499984740745262"/>
        </patternFill>
      </fill>
    </dxf>
    <dxf>
      <fill>
        <patternFill>
          <bgColor theme="9" tint="0.39994506668294322"/>
        </patternFill>
      </fill>
    </dxf>
    <dxf>
      <fill>
        <patternFill>
          <bgColor rgb="FF66FFFF"/>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9" tint="0.39994506668294322"/>
        </patternFill>
      </fill>
    </dxf>
    <dxf>
      <fill>
        <patternFill>
          <bgColor theme="8" tint="-0.49998474074526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rgb="FFFF7C80"/>
        </patternFill>
      </fill>
    </dxf>
    <dxf>
      <fill>
        <patternFill>
          <bgColor theme="8" tint="-0.499984740745262"/>
        </patternFill>
      </fill>
    </dxf>
    <dxf>
      <fill>
        <patternFill>
          <bgColor theme="9" tint="0.39994506668294322"/>
        </patternFill>
      </fill>
    </dxf>
    <dxf>
      <fill>
        <patternFill>
          <bgColor rgb="FF66FFFF"/>
        </patternFill>
      </fill>
    </dxf>
    <dxf>
      <fill>
        <patternFill>
          <bgColor rgb="FFFF7C80"/>
        </patternFill>
      </fill>
    </dxf>
    <dxf>
      <fill>
        <patternFill>
          <bgColor theme="7" tint="0.39994506668294322"/>
        </patternFill>
      </fill>
    </dxf>
    <dxf>
      <fill>
        <patternFill>
          <bgColor theme="8" tint="-0.24994659260841701"/>
        </patternFill>
      </fill>
    </dxf>
    <dxf>
      <fill>
        <patternFill>
          <bgColor theme="9" tint="0.39994506668294322"/>
        </patternFill>
      </fill>
    </dxf>
    <dxf>
      <fill>
        <patternFill>
          <bgColor theme="4" tint="-0.49998474074526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rgb="FF66FFFF"/>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rgb="FF66FFFF"/>
        </patternFill>
      </fill>
    </dxf>
    <dxf>
      <fill>
        <patternFill>
          <bgColor theme="8" tint="-0.499984740745262"/>
        </patternFill>
      </fill>
    </dxf>
    <dxf>
      <fill>
        <patternFill>
          <bgColor theme="2" tint="-9.9948118533890809E-2"/>
        </patternFill>
      </fill>
    </dxf>
    <dxf>
      <fill>
        <patternFill>
          <bgColor rgb="FFFF7C80"/>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B889DB"/>
        </patternFill>
      </fill>
    </dxf>
    <dxf>
      <fill>
        <patternFill>
          <bgColor theme="8" tint="-0.499984740745262"/>
        </patternFill>
      </fill>
    </dxf>
    <dxf>
      <fill>
        <patternFill>
          <bgColor theme="9"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8" tint="-0.499984740745262"/>
        </patternFill>
      </fill>
    </dxf>
    <dxf>
      <fill>
        <patternFill>
          <bgColor theme="9" tint="0.39994506668294322"/>
        </patternFill>
      </fill>
    </dxf>
    <dxf>
      <fill>
        <patternFill>
          <bgColor theme="4" tint="-0.499984740745262"/>
        </patternFill>
      </fill>
    </dxf>
    <dxf>
      <fill>
        <patternFill>
          <bgColor theme="8" tint="-0.24994659260841701"/>
        </patternFill>
      </fill>
    </dxf>
    <dxf>
      <fill>
        <patternFill>
          <bgColor theme="8" tint="0.79998168889431442"/>
        </patternFill>
      </fill>
    </dxf>
    <dxf>
      <fill>
        <patternFill>
          <bgColor theme="8" tint="-0.499984740745262"/>
        </patternFill>
      </fill>
    </dxf>
    <dxf>
      <fill>
        <patternFill>
          <bgColor theme="8" tint="0.79998168889431442"/>
        </patternFill>
      </fill>
    </dxf>
    <dxf>
      <fill>
        <patternFill>
          <bgColor rgb="FFFF7C80"/>
        </patternFill>
      </fill>
    </dxf>
    <dxf>
      <fill>
        <patternFill>
          <bgColor theme="8" tint="0.59996337778862885"/>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9" tint="0.39994506668294322"/>
        </patternFill>
      </fill>
    </dxf>
    <dxf>
      <fill>
        <patternFill>
          <bgColor theme="8" tint="-0.499984740745262"/>
        </patternFill>
      </fill>
    </dxf>
    <dxf>
      <fill>
        <patternFill>
          <bgColor theme="8" tint="0.79998168889431442"/>
        </patternFill>
      </fill>
    </dxf>
    <dxf>
      <fill>
        <patternFill>
          <bgColor theme="8" tint="0.59996337778862885"/>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9" tint="0.39994506668294322"/>
        </patternFill>
      </fill>
    </dxf>
    <dxf>
      <fill>
        <patternFill>
          <bgColor theme="8" tint="-0.499984740745262"/>
        </patternFill>
      </fill>
    </dxf>
    <dxf>
      <fill>
        <patternFill>
          <bgColor theme="8" tint="0.59996337778862885"/>
        </patternFill>
      </fill>
    </dxf>
    <dxf>
      <fill>
        <patternFill>
          <bgColor theme="8" tint="-0.24994659260841701"/>
        </patternFill>
      </fill>
    </dxf>
    <dxf>
      <fill>
        <patternFill>
          <bgColor theme="8" tint="-0.499984740745262"/>
        </patternFill>
      </fill>
    </dxf>
    <dxf>
      <fill>
        <patternFill>
          <bgColor theme="8" tint="-0.499984740745262"/>
        </patternFill>
      </fill>
    </dxf>
    <dxf>
      <fill>
        <patternFill>
          <bgColor rgb="FFFF7C80"/>
        </patternFill>
      </fill>
    </dxf>
    <dxf>
      <fill>
        <patternFill>
          <bgColor theme="8" tint="-0.499984740745262"/>
        </patternFill>
      </fill>
    </dxf>
    <dxf>
      <fill>
        <patternFill>
          <bgColor theme="9" tint="0.3999450666829432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rgb="FF66FFFF"/>
        </patternFill>
      </fill>
    </dxf>
    <dxf>
      <fill>
        <patternFill>
          <bgColor theme="9" tint="0.39994506668294322"/>
        </patternFill>
      </fill>
    </dxf>
    <dxf>
      <fill>
        <patternFill>
          <bgColor theme="9" tint="-0.499984740745262"/>
        </patternFill>
      </fill>
    </dxf>
    <dxf>
      <fill>
        <patternFill>
          <bgColor theme="7" tint="0.3999450666829432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7" tint="0.39994506668294322"/>
        </patternFill>
      </fill>
    </dxf>
    <dxf>
      <fill>
        <patternFill>
          <bgColor rgb="FFB889DB"/>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rgb="FFFF7C80"/>
        </patternFill>
      </fill>
    </dxf>
    <dxf>
      <fill>
        <patternFill>
          <bgColor theme="2" tint="-9.9948118533890809E-2"/>
        </patternFill>
      </fill>
    </dxf>
    <dxf>
      <fill>
        <patternFill>
          <bgColor rgb="FF66FFFF"/>
        </patternFill>
      </fill>
    </dxf>
    <dxf>
      <fill>
        <patternFill>
          <bgColor theme="8" tint="-0.499984740745262"/>
        </patternFill>
      </fill>
    </dxf>
    <dxf>
      <fill>
        <patternFill>
          <bgColor theme="2" tint="-9.9948118533890809E-2"/>
        </patternFill>
      </fill>
    </dxf>
    <dxf>
      <fill>
        <patternFill>
          <bgColor rgb="FFFF7C80"/>
        </patternFill>
      </fill>
    </dxf>
    <dxf>
      <fill>
        <patternFill>
          <bgColor theme="9" tint="0.39994506668294322"/>
        </patternFill>
      </fill>
    </dxf>
    <dxf>
      <fill>
        <patternFill>
          <bgColor rgb="FF66FFFF"/>
        </patternFill>
      </fill>
    </dxf>
    <dxf>
      <fill>
        <patternFill>
          <bgColor theme="8" tint="-0.24994659260841701"/>
        </patternFill>
      </fill>
    </dxf>
    <dxf>
      <fill>
        <patternFill>
          <bgColor theme="8" tint="0.59996337778862885"/>
        </patternFill>
      </fill>
    </dxf>
    <dxf>
      <fill>
        <patternFill>
          <bgColor theme="8" tint="-0.499984740745262"/>
        </patternFill>
      </fill>
    </dxf>
    <dxf>
      <fill>
        <patternFill>
          <bgColor theme="8" tint="0.7999816888943144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8" tint="-0.499984740745262"/>
        </patternFill>
      </fill>
    </dxf>
    <dxf>
      <fill>
        <patternFill>
          <bgColor theme="8" tint="0.79998168889431442"/>
        </patternFill>
      </fill>
    </dxf>
    <dxf>
      <fill>
        <patternFill>
          <bgColor rgb="FFFF7C80"/>
        </patternFill>
      </fill>
    </dxf>
    <dxf>
      <fill>
        <patternFill>
          <bgColor rgb="FF66FFFF"/>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8"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79998168889431442"/>
        </patternFill>
      </fill>
    </dxf>
    <dxf>
      <fill>
        <patternFill>
          <bgColor theme="8" tint="0.59996337778862885"/>
        </patternFill>
      </fill>
    </dxf>
    <dxf>
      <fill>
        <patternFill>
          <bgColor theme="8" tint="0.79998168889431442"/>
        </patternFill>
      </fill>
    </dxf>
    <dxf>
      <fill>
        <patternFill>
          <bgColor theme="9" tint="0.3999450666829432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rgb="FF66FFFF"/>
        </patternFill>
      </fill>
    </dxf>
    <dxf>
      <fill>
        <patternFill>
          <bgColor theme="9" tint="0.3999450666829432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9" tint="-0.499984740745262"/>
        </patternFill>
      </fill>
    </dxf>
    <dxf>
      <fill>
        <patternFill>
          <bgColor theme="7" tint="0.39994506668294322"/>
        </patternFill>
      </fill>
    </dxf>
    <dxf>
      <fill>
        <patternFill>
          <bgColor theme="8" tint="0.79998168889431442"/>
        </patternFill>
      </fill>
    </dxf>
    <dxf>
      <fill>
        <patternFill>
          <bgColor theme="7" tint="0.39994506668294322"/>
        </patternFill>
      </fill>
    </dxf>
    <dxf>
      <fill>
        <patternFill>
          <bgColor rgb="FF66FFFF"/>
        </patternFill>
      </fill>
    </dxf>
    <dxf>
      <fill>
        <patternFill>
          <bgColor theme="8" tint="-0.499984740745262"/>
        </patternFill>
      </fill>
    </dxf>
    <dxf>
      <fill>
        <patternFill>
          <bgColor theme="9" tint="-0.499984740745262"/>
        </patternFill>
      </fill>
    </dxf>
    <dxf>
      <fill>
        <patternFill>
          <bgColor theme="8" tint="0.59996337778862885"/>
        </patternFill>
      </fill>
    </dxf>
    <dxf>
      <fill>
        <patternFill>
          <bgColor theme="8" tint="0.59996337778862885"/>
        </patternFill>
      </fill>
    </dxf>
    <dxf>
      <fill>
        <patternFill>
          <bgColor theme="4" tint="-0.499984740745262"/>
        </patternFill>
      </fill>
    </dxf>
    <dxf>
      <fill>
        <patternFill>
          <bgColor theme="8" tint="-0.24994659260841701"/>
        </patternFill>
      </fill>
    </dxf>
    <dxf>
      <fill>
        <patternFill>
          <bgColor theme="8" tint="0.79998168889431442"/>
        </patternFill>
      </fill>
    </dxf>
    <dxf>
      <fill>
        <patternFill>
          <bgColor theme="7" tint="0.39994506668294322"/>
        </patternFill>
      </fill>
    </dxf>
    <dxf>
      <fill>
        <patternFill>
          <bgColor theme="2" tint="-9.9948118533890809E-2"/>
        </patternFill>
      </fill>
    </dxf>
    <dxf>
      <fill>
        <patternFill>
          <bgColor rgb="FFB889DB"/>
        </patternFill>
      </fill>
    </dxf>
    <dxf>
      <fill>
        <patternFill>
          <bgColor theme="8" tint="-0.499984740745262"/>
        </patternFill>
      </fill>
    </dxf>
    <dxf>
      <fill>
        <patternFill>
          <bgColor theme="9" tint="-0.499984740745262"/>
        </patternFill>
      </fill>
    </dxf>
    <dxf>
      <fill>
        <patternFill>
          <bgColor theme="4" tint="-0.499984740745262"/>
        </patternFill>
      </fill>
    </dxf>
    <dxf>
      <fill>
        <patternFill>
          <bgColor theme="8"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8" tint="-0.24994659260841701"/>
        </patternFill>
      </fill>
    </dxf>
    <dxf>
      <fill>
        <patternFill>
          <bgColor theme="9" tint="-0.499984740745262"/>
        </patternFill>
      </fill>
    </dxf>
    <dxf>
      <fill>
        <patternFill>
          <bgColor rgb="FFFF7C80"/>
        </patternFill>
      </fill>
    </dxf>
    <dxf>
      <fill>
        <patternFill>
          <bgColor theme="7" tint="0.39994506668294322"/>
        </patternFill>
      </fill>
    </dxf>
    <dxf>
      <fill>
        <patternFill>
          <bgColor theme="4" tint="-0.499984740745262"/>
        </patternFill>
      </fill>
    </dxf>
    <dxf>
      <fill>
        <patternFill>
          <bgColor theme="4" tint="-0.499984740745262"/>
        </patternFill>
      </fill>
    </dxf>
    <dxf>
      <fill>
        <patternFill>
          <bgColor theme="9" tint="-0.499984740745262"/>
        </patternFill>
      </fill>
    </dxf>
    <dxf>
      <fill>
        <patternFill>
          <bgColor theme="4" tint="-0.499984740745262"/>
        </patternFill>
      </fill>
    </dxf>
    <dxf>
      <fill>
        <patternFill>
          <bgColor theme="7" tint="0.3999450666829432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theme="8" tint="-0.24994659260841701"/>
        </patternFill>
      </fill>
    </dxf>
    <dxf>
      <fill>
        <patternFill>
          <bgColor theme="8" tint="0.79998168889431442"/>
        </patternFill>
      </fill>
    </dxf>
    <dxf>
      <fill>
        <patternFill>
          <bgColor theme="8" tint="-0.499984740745262"/>
        </patternFill>
      </fill>
    </dxf>
    <dxf>
      <fill>
        <patternFill>
          <bgColor rgb="FFFF7C80"/>
        </patternFill>
      </fill>
    </dxf>
    <dxf>
      <fill>
        <patternFill>
          <bgColor theme="7" tint="0.39994506668294322"/>
        </patternFill>
      </fill>
    </dxf>
    <dxf>
      <fill>
        <patternFill>
          <bgColor theme="8" tint="-0.24994659260841701"/>
        </patternFill>
      </fill>
    </dxf>
    <dxf>
      <fill>
        <patternFill>
          <bgColor theme="9" tint="0.39994506668294322"/>
        </patternFill>
      </fill>
    </dxf>
    <dxf>
      <fill>
        <patternFill>
          <bgColor rgb="FFFF7C80"/>
        </patternFill>
      </fill>
    </dxf>
    <dxf>
      <fill>
        <patternFill>
          <bgColor theme="8" tint="-0.24994659260841701"/>
        </patternFill>
      </fill>
    </dxf>
    <dxf>
      <fill>
        <patternFill>
          <bgColor theme="8" tint="0.59996337778862885"/>
        </patternFill>
      </fill>
    </dxf>
    <dxf>
      <fill>
        <patternFill>
          <bgColor theme="8" tint="0.59996337778862885"/>
        </patternFill>
      </fill>
    </dxf>
    <dxf>
      <fill>
        <patternFill>
          <bgColor theme="8" tint="0.79998168889431442"/>
        </patternFill>
      </fill>
    </dxf>
    <dxf>
      <fill>
        <patternFill>
          <bgColor rgb="FFB889DB"/>
        </patternFill>
      </fill>
    </dxf>
    <dxf>
      <fill>
        <patternFill>
          <bgColor theme="2" tint="-9.9948118533890809E-2"/>
        </patternFill>
      </fill>
    </dxf>
    <dxf>
      <fill>
        <patternFill>
          <bgColor theme="8" tint="0.59996337778862885"/>
        </patternFill>
      </fill>
    </dxf>
    <dxf>
      <fill>
        <patternFill>
          <bgColor theme="8" tint="0.79998168889431442"/>
        </patternFill>
      </fill>
    </dxf>
    <dxf>
      <fill>
        <patternFill>
          <bgColor theme="8" tint="-0.499984740745262"/>
        </patternFill>
      </fill>
    </dxf>
    <dxf>
      <fill>
        <patternFill>
          <bgColor theme="8" tint="-0.499984740745262"/>
        </patternFill>
      </fill>
    </dxf>
    <dxf>
      <fill>
        <patternFill>
          <bgColor rgb="FF66FFFF"/>
        </patternFill>
      </fill>
    </dxf>
    <dxf>
      <fill>
        <patternFill>
          <bgColor theme="9" tint="0.3999450666829432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9" tint="0.39994506668294322"/>
        </patternFill>
      </fill>
    </dxf>
    <dxf>
      <fill>
        <patternFill>
          <bgColor theme="8" tint="-0.49998474074526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9" tint="0.3999450666829432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rgb="FFFF7C80"/>
        </patternFill>
      </fill>
    </dxf>
    <dxf>
      <fill>
        <patternFill>
          <bgColor theme="2" tint="-9.9948118533890809E-2"/>
        </patternFill>
      </fill>
    </dxf>
    <dxf>
      <fill>
        <patternFill>
          <bgColor theme="8" tint="-0.499984740745262"/>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9" tint="0.39994506668294322"/>
        </patternFill>
      </fill>
    </dxf>
    <dxf>
      <fill>
        <patternFill>
          <bgColor rgb="FF66FFFF"/>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rgb="FFB889DB"/>
        </patternFill>
      </fill>
    </dxf>
    <dxf>
      <fill>
        <patternFill>
          <bgColor theme="2" tint="-9.9948118533890809E-2"/>
        </patternFill>
      </fill>
    </dxf>
    <dxf>
      <fill>
        <patternFill>
          <bgColor theme="9" tint="0.39994506668294322"/>
        </patternFill>
      </fill>
    </dxf>
    <dxf>
      <fill>
        <patternFill>
          <bgColor rgb="FF66FFFF"/>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7" tint="0.39994506668294322"/>
        </patternFill>
      </fill>
    </dxf>
    <dxf>
      <fill>
        <patternFill>
          <bgColor theme="4" tint="-0.499984740745262"/>
        </patternFill>
      </fill>
    </dxf>
    <dxf>
      <fill>
        <patternFill>
          <bgColor theme="9" tint="-0.499984740745262"/>
        </patternFill>
      </fill>
    </dxf>
    <dxf>
      <fill>
        <patternFill>
          <bgColor theme="8" tint="-0.499984740745262"/>
        </patternFill>
      </fill>
    </dxf>
    <dxf>
      <fill>
        <patternFill>
          <bgColor theme="9" tint="0.39994506668294322"/>
        </patternFill>
      </fill>
    </dxf>
    <dxf>
      <fill>
        <patternFill>
          <bgColor rgb="FF66FFFF"/>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9" tint="0.39994506668294322"/>
        </patternFill>
      </fill>
    </dxf>
    <dxf>
      <fill>
        <patternFill>
          <bgColor theme="8" tint="-0.499984740745262"/>
        </patternFill>
      </fill>
    </dxf>
    <dxf>
      <fill>
        <patternFill>
          <bgColor theme="9" tint="0.39994506668294322"/>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9" tint="0.3999450666829432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rgb="FFFF7C80"/>
        </patternFill>
      </fill>
    </dxf>
    <dxf>
      <fill>
        <patternFill>
          <bgColor theme="8" tint="-0.499984740745262"/>
        </patternFill>
      </fill>
    </dxf>
    <dxf>
      <fill>
        <patternFill>
          <bgColor rgb="FF66FFFF"/>
        </patternFill>
      </fill>
    </dxf>
    <dxf>
      <fill>
        <patternFill>
          <bgColor rgb="FFFF7C80"/>
        </patternFill>
      </fill>
    </dxf>
    <dxf>
      <fill>
        <patternFill>
          <bgColor theme="7" tint="0.39994506668294322"/>
        </patternFill>
      </fill>
    </dxf>
    <dxf>
      <fill>
        <patternFill>
          <bgColor rgb="FF66FFFF"/>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rgb="FFFF7C80"/>
        </patternFill>
      </fill>
    </dxf>
    <dxf>
      <fill>
        <patternFill>
          <bgColor theme="2" tint="-9.9948118533890809E-2"/>
        </patternFill>
      </fill>
    </dxf>
    <dxf>
      <fill>
        <patternFill>
          <bgColor theme="8" tint="-0.499984740745262"/>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8" tint="-0.499984740745262"/>
        </patternFill>
      </fill>
    </dxf>
    <dxf>
      <fill>
        <patternFill>
          <bgColor theme="4" tint="-0.499984740745262"/>
        </patternFill>
      </fill>
    </dxf>
    <dxf>
      <fill>
        <patternFill>
          <bgColor theme="8" tint="-0.499984740745262"/>
        </patternFill>
      </fill>
    </dxf>
    <dxf>
      <fill>
        <patternFill>
          <bgColor rgb="FFFF7C80"/>
        </patternFill>
      </fill>
    </dxf>
    <dxf>
      <fill>
        <patternFill>
          <bgColor rgb="FFB889DB"/>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9" tint="0.39994506668294322"/>
        </patternFill>
      </fill>
    </dxf>
    <dxf>
      <fill>
        <patternFill>
          <bgColor theme="8" tint="-0.49998474074526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8" tint="0.79998168889431442"/>
        </patternFill>
      </fill>
    </dxf>
    <dxf>
      <fill>
        <patternFill>
          <bgColor rgb="FF66FFFF"/>
        </patternFill>
      </fill>
    </dxf>
    <dxf>
      <fill>
        <patternFill>
          <bgColor theme="7" tint="0.3999450666829432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rgb="FFFF7C80"/>
        </patternFill>
      </fill>
    </dxf>
    <dxf>
      <fill>
        <patternFill>
          <bgColor theme="8" tint="-0.499984740745262"/>
        </patternFill>
      </fill>
    </dxf>
    <dxf>
      <fill>
        <patternFill>
          <bgColor rgb="FFFF7C80"/>
        </patternFill>
      </fill>
    </dxf>
    <dxf>
      <fill>
        <patternFill>
          <bgColor theme="7" tint="0.39994506668294322"/>
        </patternFill>
      </fill>
    </dxf>
    <dxf>
      <fill>
        <patternFill>
          <bgColor rgb="FFFF7C80"/>
        </patternFill>
      </fill>
    </dxf>
    <dxf>
      <fill>
        <patternFill>
          <bgColor theme="8"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2" tint="-9.9948118533890809E-2"/>
        </patternFill>
      </fill>
    </dxf>
    <dxf>
      <fill>
        <patternFill>
          <bgColor rgb="FFFF7C80"/>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rgb="FF66FFFF"/>
        </patternFill>
      </fill>
    </dxf>
    <dxf>
      <fill>
        <patternFill>
          <bgColor theme="8" tint="0.79998168889431442"/>
        </patternFill>
      </fill>
    </dxf>
    <dxf>
      <fill>
        <patternFill>
          <bgColor theme="9" tint="0.39994506668294322"/>
        </patternFill>
      </fill>
    </dxf>
    <dxf>
      <fill>
        <patternFill>
          <bgColor theme="4" tint="-0.499984740745262"/>
        </patternFill>
      </fill>
    </dxf>
    <dxf>
      <fill>
        <patternFill>
          <bgColor theme="8" tint="-0.499984740745262"/>
        </patternFill>
      </fill>
    </dxf>
    <dxf>
      <fill>
        <patternFill>
          <bgColor theme="9" tint="-0.499984740745262"/>
        </patternFill>
      </fill>
    </dxf>
    <dxf>
      <fill>
        <patternFill>
          <bgColor rgb="FFFF7C80"/>
        </patternFill>
      </fill>
    </dxf>
    <dxf>
      <fill>
        <patternFill>
          <bgColor theme="7" tint="0.3999450666829432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66FFFF"/>
        </patternFill>
      </fill>
    </dxf>
    <dxf>
      <fill>
        <patternFill>
          <bgColor theme="8" tint="0.79998168889431442"/>
        </patternFill>
      </fill>
    </dxf>
    <dxf>
      <fill>
        <patternFill>
          <bgColor theme="8" tint="-0.24994659260841701"/>
        </patternFill>
      </fill>
    </dxf>
    <dxf>
      <fill>
        <patternFill>
          <bgColor theme="9" tint="-0.499984740745262"/>
        </patternFill>
      </fill>
    </dxf>
    <dxf>
      <fill>
        <patternFill>
          <bgColor theme="8" tint="0.59996337778862885"/>
        </patternFill>
      </fill>
    </dxf>
    <dxf>
      <fill>
        <patternFill>
          <bgColor theme="7" tint="0.39994506668294322"/>
        </patternFill>
      </fill>
    </dxf>
    <dxf>
      <fill>
        <patternFill>
          <bgColor theme="4" tint="-0.499984740745262"/>
        </patternFill>
      </fill>
    </dxf>
    <dxf>
      <fill>
        <patternFill>
          <bgColor theme="8" tint="-0.499984740745262"/>
        </patternFill>
      </fill>
    </dxf>
    <dxf>
      <fill>
        <patternFill>
          <bgColor theme="7" tint="0.39994506668294322"/>
        </patternFill>
      </fill>
    </dxf>
    <dxf>
      <fill>
        <patternFill>
          <bgColor rgb="FFFF7C80"/>
        </patternFill>
      </fill>
    </dxf>
    <dxf>
      <fill>
        <patternFill>
          <bgColor rgb="FF66FFFF"/>
        </patternFill>
      </fill>
    </dxf>
    <dxf>
      <fill>
        <patternFill>
          <bgColor theme="7" tint="0.39994506668294322"/>
        </patternFill>
      </fill>
    </dxf>
    <dxf>
      <fill>
        <patternFill>
          <bgColor rgb="FFFF7C80"/>
        </patternFill>
      </fill>
    </dxf>
    <dxf>
      <fill>
        <patternFill>
          <bgColor theme="8" tint="0.59996337778862885"/>
        </patternFill>
      </fill>
    </dxf>
    <dxf>
      <fill>
        <patternFill>
          <bgColor theme="7" tint="0.39994506668294322"/>
        </patternFill>
      </fill>
    </dxf>
    <dxf>
      <fill>
        <patternFill>
          <bgColor rgb="FFB889DB"/>
        </patternFill>
      </fill>
    </dxf>
    <dxf>
      <fill>
        <patternFill>
          <bgColor theme="8" tint="0.79998168889431442"/>
        </patternFill>
      </fill>
    </dxf>
    <dxf>
      <fill>
        <patternFill>
          <bgColor theme="4" tint="-0.499984740745262"/>
        </patternFill>
      </fill>
    </dxf>
    <dxf>
      <fill>
        <patternFill>
          <bgColor theme="7" tint="0.39994506668294322"/>
        </patternFill>
      </fill>
    </dxf>
    <dxf>
      <fill>
        <patternFill>
          <bgColor theme="8" tint="0.79998168889431442"/>
        </patternFill>
      </fill>
    </dxf>
    <dxf>
      <fill>
        <patternFill>
          <bgColor theme="8" tint="-0.24994659260841701"/>
        </patternFill>
      </fill>
    </dxf>
    <dxf>
      <fill>
        <patternFill>
          <bgColor theme="9" tint="-0.499984740745262"/>
        </patternFill>
      </fill>
    </dxf>
    <dxf>
      <fill>
        <patternFill>
          <bgColor theme="8" tint="-0.499984740745262"/>
        </patternFill>
      </fill>
    </dxf>
    <dxf>
      <fill>
        <patternFill>
          <bgColor rgb="FFFF7C80"/>
        </patternFill>
      </fill>
    </dxf>
    <dxf>
      <fill>
        <patternFill>
          <bgColor theme="8" tint="0.59996337778862885"/>
        </patternFill>
      </fill>
    </dxf>
    <dxf>
      <fill>
        <patternFill>
          <bgColor theme="8" tint="-0.24994659260841701"/>
        </patternFill>
      </fill>
    </dxf>
    <dxf>
      <fill>
        <patternFill>
          <bgColor theme="9" tint="-0.499984740745262"/>
        </patternFill>
      </fill>
    </dxf>
    <dxf>
      <fill>
        <patternFill>
          <bgColor theme="4" tint="-0.499984740745262"/>
        </patternFill>
      </fill>
    </dxf>
    <dxf>
      <fill>
        <patternFill>
          <bgColor theme="8" tint="-0.499984740745262"/>
        </patternFill>
      </fill>
    </dxf>
    <dxf>
      <fill>
        <patternFill>
          <bgColor theme="8" tint="-0.499984740745262"/>
        </patternFill>
      </fill>
    </dxf>
    <dxf>
      <fill>
        <patternFill>
          <bgColor theme="9" tint="-0.49998474074526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rgb="FFFF7C80"/>
        </patternFill>
      </fill>
    </dxf>
    <dxf>
      <fill>
        <patternFill>
          <bgColor theme="7" tint="0.39994506668294322"/>
        </patternFill>
      </fill>
    </dxf>
    <dxf>
      <fill>
        <patternFill>
          <bgColor rgb="FF66FFFF"/>
        </patternFill>
      </fill>
    </dxf>
    <dxf>
      <fill>
        <patternFill>
          <bgColor theme="9" tint="0.39994506668294322"/>
        </patternFill>
      </fill>
    </dxf>
    <dxf>
      <fill>
        <patternFill>
          <bgColor rgb="FF66FFFF"/>
        </patternFill>
      </fill>
    </dxf>
    <dxf>
      <fill>
        <patternFill>
          <bgColor theme="9" tint="0.39994506668294322"/>
        </patternFill>
      </fill>
    </dxf>
    <dxf>
      <fill>
        <patternFill>
          <bgColor theme="8" tint="-0.499984740745262"/>
        </patternFill>
      </fill>
    </dxf>
    <dxf>
      <fill>
        <patternFill>
          <bgColor theme="9" tint="0.39994506668294322"/>
        </patternFill>
      </fill>
    </dxf>
    <dxf>
      <fill>
        <patternFill>
          <bgColor rgb="FF66FFFF"/>
        </patternFill>
      </fill>
    </dxf>
    <dxf>
      <fill>
        <patternFill>
          <bgColor theme="8" tint="-0.499984740745262"/>
        </patternFill>
      </fill>
    </dxf>
    <dxf>
      <fill>
        <patternFill>
          <bgColor theme="9" tint="0.39994506668294322"/>
        </patternFill>
      </fill>
    </dxf>
    <dxf>
      <fill>
        <patternFill>
          <bgColor rgb="FF66FFFF"/>
        </patternFill>
      </fill>
    </dxf>
    <dxf>
      <fill>
        <patternFill>
          <bgColor theme="8" tint="0.79998168889431442"/>
        </patternFill>
      </fill>
    </dxf>
    <dxf>
      <fill>
        <patternFill>
          <bgColor theme="8" tint="-0.499984740745262"/>
        </patternFill>
      </fill>
    </dxf>
    <dxf>
      <fill>
        <patternFill>
          <bgColor theme="8" tint="-0.24994659260841701"/>
        </patternFill>
      </fill>
    </dxf>
    <dxf>
      <fill>
        <patternFill>
          <bgColor rgb="FFFF7C80"/>
        </patternFill>
      </fill>
    </dxf>
    <dxf>
      <fill>
        <patternFill>
          <bgColor theme="8" tint="0.59996337778862885"/>
        </patternFill>
      </fill>
    </dxf>
    <dxf>
      <fill>
        <patternFill>
          <bgColor theme="7" tint="0.39994506668294322"/>
        </patternFill>
      </fill>
    </dxf>
    <dxf>
      <fill>
        <patternFill>
          <bgColor rgb="FF66FFFF"/>
        </patternFill>
      </fill>
    </dxf>
    <dxf>
      <fill>
        <patternFill>
          <bgColor rgb="FFFF7C80"/>
        </patternFill>
      </fill>
    </dxf>
    <dxf>
      <fill>
        <patternFill>
          <bgColor rgb="FFFF7C80"/>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9" tint="-0.499984740745262"/>
        </patternFill>
      </fill>
    </dxf>
    <dxf>
      <fill>
        <patternFill>
          <bgColor theme="8" tint="-0.499984740745262"/>
        </patternFill>
      </fill>
    </dxf>
    <dxf>
      <fill>
        <patternFill>
          <bgColor rgb="FFB889DB"/>
        </patternFill>
      </fill>
    </dxf>
    <dxf>
      <fill>
        <patternFill>
          <bgColor theme="9" tint="-0.499984740745262"/>
        </patternFill>
      </fill>
    </dxf>
    <dxf>
      <fill>
        <patternFill>
          <bgColor theme="8" tint="0.59996337778862885"/>
        </patternFill>
      </fill>
    </dxf>
    <dxf>
      <fill>
        <patternFill>
          <bgColor theme="8" tint="-0.24994659260841701"/>
        </patternFill>
      </fill>
    </dxf>
    <dxf>
      <fill>
        <patternFill>
          <bgColor theme="2" tint="-9.9948118533890809E-2"/>
        </patternFill>
      </fill>
    </dxf>
    <dxf>
      <fill>
        <patternFill>
          <bgColor rgb="FFFF7C80"/>
        </patternFill>
      </fill>
    </dxf>
    <dxf>
      <fill>
        <patternFill>
          <bgColor theme="8" tint="0.79998168889431442"/>
        </patternFill>
      </fill>
    </dxf>
    <dxf>
      <fill>
        <patternFill>
          <bgColor theme="8" tint="0.79998168889431442"/>
        </patternFill>
      </fill>
    </dxf>
    <dxf>
      <fill>
        <patternFill>
          <bgColor theme="8" tint="-0.499984740745262"/>
        </patternFill>
      </fill>
    </dxf>
    <dxf>
      <fill>
        <patternFill>
          <bgColor rgb="FF66FFFF"/>
        </patternFill>
      </fill>
    </dxf>
    <dxf>
      <fill>
        <patternFill>
          <bgColor theme="7" tint="0.3999450666829432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7" tint="0.39994506668294322"/>
        </patternFill>
      </fill>
    </dxf>
    <dxf>
      <fill>
        <patternFill>
          <bgColor rgb="FFFF7C80"/>
        </patternFill>
      </fill>
    </dxf>
    <dxf>
      <fill>
        <patternFill>
          <bgColor theme="7" tint="0.39994506668294322"/>
        </patternFill>
      </fill>
    </dxf>
    <dxf>
      <fill>
        <patternFill>
          <bgColor rgb="FF66FFFF"/>
        </patternFill>
      </fill>
    </dxf>
    <dxf>
      <fill>
        <patternFill>
          <bgColor theme="8" tint="-0.499984740745262"/>
        </patternFill>
      </fill>
    </dxf>
    <dxf>
      <fill>
        <patternFill>
          <bgColor rgb="FF66FFFF"/>
        </patternFill>
      </fill>
    </dxf>
    <dxf>
      <fill>
        <patternFill>
          <bgColor theme="2" tint="-9.9948118533890809E-2"/>
        </patternFill>
      </fill>
    </dxf>
    <dxf>
      <fill>
        <patternFill>
          <bgColor rgb="FFFF7C80"/>
        </patternFill>
      </fill>
    </dxf>
    <dxf>
      <fill>
        <patternFill>
          <bgColor theme="8"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7" tint="0.39994506668294322"/>
        </patternFill>
      </fill>
    </dxf>
    <dxf>
      <fill>
        <patternFill>
          <bgColor rgb="FFFF7C80"/>
        </patternFill>
      </fill>
    </dxf>
    <dxf>
      <fill>
        <patternFill>
          <bgColor theme="8" tint="-0.499984740745262"/>
        </patternFill>
      </fill>
    </dxf>
    <dxf>
      <fill>
        <patternFill>
          <bgColor rgb="FFB889DB"/>
        </patternFill>
      </fill>
    </dxf>
    <dxf>
      <fill>
        <patternFill>
          <bgColor theme="8" tint="0.79998168889431442"/>
        </patternFill>
      </fill>
    </dxf>
    <dxf>
      <fill>
        <patternFill>
          <bgColor theme="8"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79998168889431442"/>
        </patternFill>
      </fill>
    </dxf>
    <dxf>
      <fill>
        <patternFill>
          <bgColor theme="7" tint="0.39994506668294322"/>
        </patternFill>
      </fill>
    </dxf>
    <dxf>
      <fill>
        <patternFill>
          <bgColor theme="8"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8"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79998168889431442"/>
        </patternFill>
      </fill>
    </dxf>
    <dxf>
      <fill>
        <patternFill>
          <bgColor theme="7" tint="0.39994506668294322"/>
        </patternFill>
      </fill>
    </dxf>
    <dxf>
      <fill>
        <patternFill>
          <bgColor theme="8" tint="-0.499984740745262"/>
        </patternFill>
      </fill>
    </dxf>
    <dxf>
      <fill>
        <patternFill>
          <bgColor theme="8" tint="0.59996337778862885"/>
        </patternFill>
      </fill>
    </dxf>
    <dxf>
      <fill>
        <patternFill>
          <bgColor theme="7" tint="0.39994506668294322"/>
        </patternFill>
      </fill>
    </dxf>
    <dxf>
      <fill>
        <patternFill>
          <bgColor theme="8" tint="0.59996337778862885"/>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rgb="FF66FFFF"/>
        </patternFill>
      </fill>
    </dxf>
    <dxf>
      <fill>
        <patternFill>
          <bgColor rgb="FFFF7C80"/>
        </patternFill>
      </fill>
    </dxf>
    <dxf>
      <fill>
        <patternFill>
          <bgColor rgb="FFB889DB"/>
        </patternFill>
      </fill>
    </dxf>
    <dxf>
      <fill>
        <patternFill>
          <bgColor theme="9" tint="0.39994506668294322"/>
        </patternFill>
      </fill>
    </dxf>
    <dxf>
      <fill>
        <patternFill>
          <bgColor rgb="FF66FFFF"/>
        </patternFill>
      </fill>
    </dxf>
    <dxf>
      <fill>
        <patternFill>
          <bgColor theme="9" tint="0.39994506668294322"/>
        </patternFill>
      </fill>
    </dxf>
    <dxf>
      <fill>
        <patternFill>
          <bgColor theme="8" tint="-0.49998474074526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9" tint="0.39994506668294322"/>
        </patternFill>
      </fill>
    </dxf>
    <dxf>
      <fill>
        <patternFill>
          <bgColor theme="8" tint="0.79998168889431442"/>
        </patternFill>
      </fill>
    </dxf>
    <dxf>
      <fill>
        <patternFill>
          <bgColor theme="8" tint="-0.499984740745262"/>
        </patternFill>
      </fill>
    </dxf>
    <dxf>
      <fill>
        <patternFill>
          <bgColor theme="8" tint="0.59996337778862885"/>
        </patternFill>
      </fill>
    </dxf>
    <dxf>
      <fill>
        <patternFill>
          <bgColor theme="8" tint="0.7999816888943144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rgb="FF66FFFF"/>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rgb="FF66FFFF"/>
        </patternFill>
      </fill>
    </dxf>
    <dxf>
      <fill>
        <patternFill>
          <bgColor theme="8" tint="-0.499984740745262"/>
        </patternFill>
      </fill>
    </dxf>
    <dxf>
      <fill>
        <patternFill>
          <bgColor theme="2" tint="-9.9948118533890809E-2"/>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rgb="FF66FFFF"/>
        </patternFill>
      </fill>
    </dxf>
    <dxf>
      <fill>
        <patternFill>
          <bgColor theme="8" tint="0.79998168889431442"/>
        </patternFill>
      </fill>
    </dxf>
    <dxf>
      <fill>
        <patternFill>
          <bgColor theme="8" tint="0.59996337778862885"/>
        </patternFill>
      </fill>
    </dxf>
    <dxf>
      <fill>
        <patternFill>
          <bgColor rgb="FFB889DB"/>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9"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9" tint="0.39994506668294322"/>
        </patternFill>
      </fill>
    </dxf>
    <dxf>
      <fill>
        <patternFill>
          <bgColor rgb="FFB889DB"/>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rgb="FFFF7C80"/>
        </patternFill>
      </fill>
    </dxf>
    <dxf>
      <fill>
        <patternFill>
          <bgColor theme="8" tint="-0.499984740745262"/>
        </patternFill>
      </fill>
    </dxf>
    <dxf>
      <fill>
        <patternFill>
          <bgColor rgb="FF66FFFF"/>
        </patternFill>
      </fill>
    </dxf>
    <dxf>
      <fill>
        <patternFill>
          <bgColor rgb="FFFF7C80"/>
        </patternFill>
      </fill>
    </dxf>
    <dxf>
      <fill>
        <patternFill>
          <bgColor theme="7" tint="0.39994506668294322"/>
        </patternFill>
      </fill>
    </dxf>
    <dxf>
      <fill>
        <patternFill>
          <bgColor rgb="FFFF7C80"/>
        </patternFill>
      </fill>
    </dxf>
    <dxf>
      <fill>
        <patternFill>
          <bgColor theme="8" tint="-0.24994659260841701"/>
        </patternFill>
      </fill>
    </dxf>
    <dxf>
      <fill>
        <patternFill>
          <bgColor theme="4" tint="-0.499984740745262"/>
        </patternFill>
      </fill>
    </dxf>
    <dxf>
      <fill>
        <patternFill>
          <bgColor theme="8" tint="0.59996337778862885"/>
        </patternFill>
      </fill>
    </dxf>
    <dxf>
      <fill>
        <patternFill>
          <bgColor theme="8" tint="0.7999816888943144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rgb="FFFF7C80"/>
        </patternFill>
      </fill>
    </dxf>
    <dxf>
      <fill>
        <patternFill>
          <bgColor theme="8" tint="-0.499984740745262"/>
        </patternFill>
      </fill>
    </dxf>
    <dxf>
      <fill>
        <patternFill>
          <bgColor theme="9" tint="-0.499984740745262"/>
        </patternFill>
      </fill>
    </dxf>
    <dxf>
      <fill>
        <patternFill>
          <bgColor theme="8"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79998168889431442"/>
        </patternFill>
      </fill>
    </dxf>
    <dxf>
      <fill>
        <patternFill>
          <bgColor theme="8" tint="-0.24994659260841701"/>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79998168889431442"/>
        </patternFill>
      </fill>
    </dxf>
    <dxf>
      <fill>
        <patternFill>
          <bgColor rgb="FFFF7C80"/>
        </patternFill>
      </fill>
    </dxf>
    <dxf>
      <fill>
        <patternFill>
          <bgColor theme="8" tint="0.59996337778862885"/>
        </patternFill>
      </fill>
    </dxf>
    <dxf>
      <fill>
        <patternFill>
          <bgColor rgb="FF66FFFF"/>
        </patternFill>
      </fill>
    </dxf>
    <dxf>
      <fill>
        <patternFill>
          <bgColor theme="9" tint="0.39994506668294322"/>
        </patternFill>
      </fill>
    </dxf>
    <dxf>
      <fill>
        <patternFill>
          <bgColor theme="9" tint="0.39994506668294322"/>
        </patternFill>
      </fill>
    </dxf>
    <dxf>
      <fill>
        <patternFill>
          <bgColor rgb="FF66FFFF"/>
        </patternFill>
      </fill>
    </dxf>
    <dxf>
      <fill>
        <patternFill>
          <bgColor theme="9" tint="0.39994506668294322"/>
        </patternFill>
      </fill>
    </dxf>
    <dxf>
      <fill>
        <patternFill>
          <bgColor rgb="FF66FFFF"/>
        </patternFill>
      </fill>
    </dxf>
    <dxf>
      <fill>
        <patternFill>
          <bgColor theme="9" tint="0.39994506668294322"/>
        </patternFill>
      </fill>
    </dxf>
    <dxf>
      <fill>
        <patternFill>
          <bgColor rgb="FF66FFFF"/>
        </patternFill>
      </fill>
    </dxf>
    <dxf>
      <fill>
        <patternFill>
          <bgColor theme="8" tint="0.59996337778862885"/>
        </patternFill>
      </fill>
    </dxf>
    <dxf>
      <fill>
        <patternFill>
          <bgColor theme="8" tint="0.79998168889431442"/>
        </patternFill>
      </fill>
    </dxf>
    <dxf>
      <fill>
        <patternFill>
          <bgColor theme="8" tint="-0.24994659260841701"/>
        </patternFill>
      </fill>
    </dxf>
    <dxf>
      <fill>
        <patternFill>
          <bgColor theme="9" tint="0.39994506668294322"/>
        </patternFill>
      </fill>
    </dxf>
    <dxf>
      <fill>
        <patternFill>
          <bgColor theme="7" tint="0.39994506668294322"/>
        </patternFill>
      </fill>
    </dxf>
    <dxf>
      <fill>
        <patternFill>
          <bgColor theme="9"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rgb="FFFF7C80"/>
        </patternFill>
      </fill>
    </dxf>
    <dxf>
      <fill>
        <patternFill>
          <bgColor theme="4" tint="-0.499984740745262"/>
        </patternFill>
      </fill>
    </dxf>
    <dxf>
      <fill>
        <patternFill>
          <bgColor theme="8" tint="-0.499984740745262"/>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7" tint="0.39994506668294322"/>
        </patternFill>
      </fill>
    </dxf>
    <dxf>
      <fill>
        <patternFill>
          <bgColor rgb="FF66FFFF"/>
        </patternFill>
      </fill>
    </dxf>
    <dxf>
      <fill>
        <patternFill>
          <bgColor rgb="FF66FFFF"/>
        </patternFill>
      </fill>
    </dxf>
    <dxf>
      <fill>
        <patternFill>
          <bgColor theme="8" tint="-0.499984740745262"/>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rgb="FF66FFFF"/>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7" tint="0.39994506668294322"/>
        </patternFill>
      </fill>
    </dxf>
    <dxf>
      <fill>
        <patternFill>
          <bgColor theme="9" tint="-0.499984740745262"/>
        </patternFill>
      </fill>
    </dxf>
    <dxf>
      <fill>
        <patternFill>
          <bgColor theme="8" tint="0.79998168889431442"/>
        </patternFill>
      </fill>
    </dxf>
    <dxf>
      <fill>
        <patternFill>
          <bgColor theme="8" tint="0.59996337778862885"/>
        </patternFill>
      </fill>
    </dxf>
    <dxf>
      <fill>
        <patternFill>
          <bgColor theme="8" tint="-0.499984740745262"/>
        </patternFill>
      </fill>
    </dxf>
    <dxf>
      <fill>
        <patternFill>
          <bgColor rgb="FFFF7C80"/>
        </patternFill>
      </fill>
    </dxf>
    <dxf>
      <fill>
        <patternFill>
          <bgColor theme="8" tint="-0.24994659260841701"/>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rgb="FF66FFFF"/>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8" tint="-0.499984740745262"/>
        </patternFill>
      </fill>
    </dxf>
    <dxf>
      <fill>
        <patternFill>
          <bgColor theme="9" tint="0.39994506668294322"/>
        </patternFill>
      </fill>
    </dxf>
    <dxf>
      <fill>
        <patternFill>
          <bgColor theme="9" tint="-0.499984740745262"/>
        </patternFill>
      </fill>
    </dxf>
    <dxf>
      <fill>
        <patternFill>
          <bgColor rgb="FFFF7C80"/>
        </patternFill>
      </fill>
    </dxf>
    <dxf>
      <fill>
        <patternFill>
          <bgColor rgb="FF66FFFF"/>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9" tint="0.3999450666829432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theme="8" tint="-0.499984740745262"/>
        </patternFill>
      </fill>
    </dxf>
    <dxf>
      <fill>
        <patternFill>
          <bgColor theme="2" tint="-9.9948118533890809E-2"/>
        </patternFill>
      </fill>
    </dxf>
    <dxf>
      <fill>
        <patternFill>
          <bgColor rgb="FFFF7C80"/>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2" tint="-9.9948118533890809E-2"/>
        </patternFill>
      </fill>
    </dxf>
    <dxf>
      <fill>
        <patternFill>
          <bgColor rgb="FFB889DB"/>
        </patternFill>
      </fill>
    </dxf>
    <dxf>
      <fill>
        <patternFill>
          <bgColor theme="9" tint="0.39994506668294322"/>
        </patternFill>
      </fill>
    </dxf>
    <dxf>
      <fill>
        <patternFill>
          <bgColor rgb="FF66FFFF"/>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7" tint="0.3999450666829432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7" tint="0.39994506668294322"/>
        </patternFill>
      </fill>
    </dxf>
    <dxf>
      <fill>
        <patternFill>
          <bgColor theme="4" tint="-0.499984740745262"/>
        </patternFill>
      </fill>
    </dxf>
    <dxf>
      <fill>
        <patternFill>
          <bgColor theme="9" tint="-0.499984740745262"/>
        </patternFill>
      </fill>
    </dxf>
    <dxf>
      <fill>
        <patternFill>
          <bgColor theme="8" tint="-0.499984740745262"/>
        </patternFill>
      </fill>
    </dxf>
    <dxf>
      <fill>
        <patternFill>
          <bgColor theme="9" tint="0.39994506668294322"/>
        </patternFill>
      </fill>
    </dxf>
    <dxf>
      <fill>
        <patternFill>
          <bgColor rgb="FF66FFFF"/>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9" tint="0.39994506668294322"/>
        </patternFill>
      </fill>
    </dxf>
    <dxf>
      <fill>
        <patternFill>
          <bgColor theme="8" tint="-0.49998474074526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rgb="FFFF7C80"/>
        </patternFill>
      </fill>
    </dxf>
    <dxf>
      <fill>
        <patternFill>
          <bgColor theme="8" tint="-0.499984740745262"/>
        </patternFill>
      </fill>
    </dxf>
    <dxf>
      <fill>
        <patternFill>
          <bgColor theme="9" tint="0.39994506668294322"/>
        </patternFill>
      </fill>
    </dxf>
    <dxf>
      <fill>
        <patternFill>
          <bgColor rgb="FF66FFFF"/>
        </patternFill>
      </fill>
    </dxf>
    <dxf>
      <fill>
        <patternFill>
          <bgColor rgb="FFFF7C80"/>
        </patternFill>
      </fill>
    </dxf>
    <dxf>
      <fill>
        <patternFill>
          <bgColor theme="7" tint="0.39994506668294322"/>
        </patternFill>
      </fill>
    </dxf>
    <dxf>
      <fill>
        <patternFill>
          <bgColor theme="4" tint="-0.499984740745262"/>
        </patternFill>
      </fill>
    </dxf>
    <dxf>
      <fill>
        <patternFill>
          <bgColor theme="8" tint="-0.499984740745262"/>
        </patternFill>
      </fill>
    </dxf>
    <dxf>
      <fill>
        <patternFill>
          <bgColor theme="7" tint="0.39994506668294322"/>
        </patternFill>
      </fill>
    </dxf>
    <dxf>
      <fill>
        <patternFill>
          <bgColor rgb="FFFF7C80"/>
        </patternFill>
      </fill>
    </dxf>
    <dxf>
      <fill>
        <patternFill>
          <bgColor rgb="FF66FFFF"/>
        </patternFill>
      </fill>
    </dxf>
    <dxf>
      <fill>
        <patternFill>
          <bgColor theme="8" tint="-0.499984740745262"/>
        </patternFill>
      </fill>
    </dxf>
    <dxf>
      <fill>
        <patternFill>
          <bgColor rgb="FFFF7C80"/>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8" tint="-0.24994659260841701"/>
        </patternFill>
      </fill>
    </dxf>
    <dxf>
      <fill>
        <patternFill>
          <bgColor theme="9" tint="0.39994506668294322"/>
        </patternFill>
      </fill>
    </dxf>
    <dxf>
      <fill>
        <patternFill>
          <bgColor theme="8" tint="0.59996337778862885"/>
        </patternFill>
      </fill>
    </dxf>
    <dxf>
      <fill>
        <patternFill>
          <bgColor theme="8" tint="0.79998168889431442"/>
        </patternFill>
      </fill>
    </dxf>
    <dxf>
      <fill>
        <patternFill>
          <bgColor theme="8" tint="-0.499984740745262"/>
        </patternFill>
      </fill>
    </dxf>
    <dxf>
      <fill>
        <patternFill>
          <bgColor theme="9"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8" tint="-0.499984740745262"/>
        </patternFill>
      </fill>
    </dxf>
    <dxf>
      <fill>
        <patternFill>
          <bgColor theme="7" tint="0.39994506668294322"/>
        </patternFill>
      </fill>
    </dxf>
    <dxf>
      <fill>
        <patternFill>
          <bgColor theme="4" tint="-0.499984740745262"/>
        </patternFill>
      </fill>
    </dxf>
    <dxf>
      <fill>
        <patternFill>
          <bgColor theme="9" tint="-0.49998474074526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rgb="FFFF7C80"/>
        </patternFill>
      </fill>
    </dxf>
    <dxf>
      <fill>
        <patternFill>
          <bgColor theme="2" tint="-9.9948118533890809E-2"/>
        </patternFill>
      </fill>
    </dxf>
    <dxf>
      <fill>
        <patternFill>
          <bgColor theme="8" tint="-0.499984740745262"/>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rgb="FF66FFFF"/>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9" tint="0.39994506668294322"/>
        </patternFill>
      </fill>
    </dxf>
    <dxf>
      <fill>
        <patternFill>
          <bgColor theme="4" tint="-0.499984740745262"/>
        </patternFill>
      </fill>
    </dxf>
    <dxf>
      <fill>
        <patternFill>
          <bgColor theme="8" tint="-0.24994659260841701"/>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8" tint="0.79998168889431442"/>
        </patternFill>
      </fill>
    </dxf>
    <dxf>
      <fill>
        <patternFill>
          <bgColor theme="7" tint="0.39994506668294322"/>
        </patternFill>
      </fill>
    </dxf>
    <dxf>
      <fill>
        <patternFill>
          <bgColor theme="8" tint="-0.24994659260841701"/>
        </patternFill>
      </fill>
    </dxf>
    <dxf>
      <fill>
        <patternFill>
          <bgColor theme="8" tint="-0.499984740745262"/>
        </patternFill>
      </fill>
    </dxf>
    <dxf>
      <fill>
        <patternFill>
          <bgColor rgb="FFFF7C80"/>
        </patternFill>
      </fill>
    </dxf>
    <dxf>
      <fill>
        <patternFill>
          <bgColor theme="8" tint="0.59996337778862885"/>
        </patternFill>
      </fill>
    </dxf>
    <dxf>
      <fill>
        <patternFill>
          <bgColor rgb="FF66FFFF"/>
        </patternFill>
      </fill>
    </dxf>
    <dxf>
      <fill>
        <patternFill>
          <bgColor theme="9" tint="0.39994506668294322"/>
        </patternFill>
      </fill>
    </dxf>
    <dxf>
      <fill>
        <patternFill>
          <bgColor theme="9" tint="0.39994506668294322"/>
        </patternFill>
      </fill>
    </dxf>
    <dxf>
      <fill>
        <patternFill>
          <bgColor rgb="FF66FFFF"/>
        </patternFill>
      </fill>
    </dxf>
    <dxf>
      <fill>
        <patternFill>
          <bgColor theme="8" tint="-0.499984740745262"/>
        </patternFill>
      </fill>
    </dxf>
    <dxf>
      <fill>
        <patternFill>
          <bgColor theme="2" tint="-9.9948118533890809E-2"/>
        </patternFill>
      </fill>
    </dxf>
    <dxf>
      <fill>
        <patternFill>
          <bgColor rgb="FFFF7C80"/>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B889DB"/>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rgb="FF66FFFF"/>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theme="4" tint="-0.499984740745262"/>
        </patternFill>
      </fill>
    </dxf>
    <dxf>
      <fill>
        <patternFill>
          <bgColor theme="9" tint="0.3999450666829432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rgb="FFFF7C80"/>
        </patternFill>
      </fill>
    </dxf>
    <dxf>
      <fill>
        <patternFill>
          <bgColor rgb="FF66FFFF"/>
        </patternFill>
      </fill>
    </dxf>
    <dxf>
      <fill>
        <patternFill>
          <bgColor theme="9" tint="0.39994506668294322"/>
        </patternFill>
      </fill>
    </dxf>
    <dxf>
      <fill>
        <patternFill>
          <bgColor theme="2" tint="-9.9948118533890809E-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theme="8" tint="-0.499984740745262"/>
        </patternFill>
      </fill>
    </dxf>
    <dxf>
      <fill>
        <patternFill>
          <bgColor theme="9" tint="-0.499984740745262"/>
        </patternFill>
      </fill>
    </dxf>
    <dxf>
      <fill>
        <patternFill>
          <bgColor rgb="FFFF7C80"/>
        </patternFill>
      </fill>
    </dxf>
    <dxf>
      <fill>
        <patternFill>
          <bgColor theme="7" tint="0.39994506668294322"/>
        </patternFill>
      </fill>
    </dxf>
    <dxf>
      <fill>
        <patternFill>
          <bgColor theme="8" tint="-0.24994659260841701"/>
        </patternFill>
      </fill>
    </dxf>
    <dxf>
      <fill>
        <patternFill>
          <bgColor theme="8" tint="0.59996337778862885"/>
        </patternFill>
      </fill>
    </dxf>
    <dxf>
      <fill>
        <patternFill>
          <bgColor rgb="FFFF7C80"/>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8" tint="0.79998168889431442"/>
        </patternFill>
      </fill>
    </dxf>
    <dxf>
      <fill>
        <patternFill>
          <bgColor theme="4" tint="-0.499984740745262"/>
        </patternFill>
      </fill>
    </dxf>
    <dxf>
      <fill>
        <patternFill>
          <bgColor theme="7" tint="0.39994506668294322"/>
        </patternFill>
      </fill>
    </dxf>
    <dxf>
      <fill>
        <patternFill>
          <bgColor theme="8" tint="-0.49998474074526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rgb="FF66FFFF"/>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rgb="FF66FFFF"/>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8" tint="-0.499984740745262"/>
        </patternFill>
      </fill>
    </dxf>
    <dxf>
      <fill>
        <patternFill>
          <bgColor theme="9" tint="0.3999450666829432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rgb="FF66FFFF"/>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79998168889431442"/>
        </patternFill>
      </fill>
    </dxf>
    <dxf>
      <fill>
        <patternFill>
          <bgColor rgb="FFFF7C80"/>
        </patternFill>
      </fill>
    </dxf>
    <dxf>
      <fill>
        <patternFill>
          <bgColor theme="4" tint="-0.499984740745262"/>
        </patternFill>
      </fill>
    </dxf>
    <dxf>
      <fill>
        <patternFill>
          <bgColor theme="8" tint="0.59996337778862885"/>
        </patternFill>
      </fill>
    </dxf>
    <dxf>
      <fill>
        <patternFill>
          <bgColor theme="8" tint="0.79998168889431442"/>
        </patternFill>
      </fill>
    </dxf>
    <dxf>
      <fill>
        <patternFill>
          <bgColor rgb="FFFF7C80"/>
        </patternFill>
      </fill>
    </dxf>
    <dxf>
      <fill>
        <patternFill>
          <bgColor rgb="FF66FFFF"/>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theme="9" tint="0.39994506668294322"/>
        </patternFill>
      </fill>
    </dxf>
    <dxf>
      <fill>
        <patternFill>
          <bgColor rgb="FFB889DB"/>
        </patternFill>
      </fill>
    </dxf>
    <dxf>
      <fill>
        <patternFill>
          <bgColor theme="8" tint="-0.499984740745262"/>
        </patternFill>
      </fill>
    </dxf>
    <dxf>
      <fill>
        <patternFill>
          <bgColor theme="2" tint="-9.9948118533890809E-2"/>
        </patternFill>
      </fill>
    </dxf>
    <dxf>
      <fill>
        <patternFill>
          <bgColor rgb="FFFF7C80"/>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B889DB"/>
        </patternFill>
      </fill>
    </dxf>
    <dxf>
      <fill>
        <patternFill>
          <bgColor theme="9" tint="-0.499984740745262"/>
        </patternFill>
      </fill>
    </dxf>
    <dxf>
      <fill>
        <patternFill>
          <bgColor theme="7" tint="0.39994506668294322"/>
        </patternFill>
      </fill>
    </dxf>
    <dxf>
      <fill>
        <patternFill>
          <bgColor rgb="FFFF7C80"/>
        </patternFill>
      </fill>
    </dxf>
    <dxf>
      <fill>
        <patternFill>
          <bgColor theme="8" tint="-0.24994659260841701"/>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rgb="FF66FFFF"/>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rgb="FF66FFFF"/>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8" tint="-0.499984740745262"/>
        </patternFill>
      </fill>
    </dxf>
    <dxf>
      <fill>
        <patternFill>
          <bgColor theme="9" tint="0.39994506668294322"/>
        </patternFill>
      </fill>
    </dxf>
    <dxf>
      <fill>
        <patternFill>
          <bgColor theme="7" tint="0.39994506668294322"/>
        </patternFill>
      </fill>
    </dxf>
    <dxf>
      <fill>
        <patternFill>
          <bgColor theme="4" tint="-0.49998474074526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rgb="FF66FFFF"/>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rgb="FF66FFFF"/>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8" tint="-0.499984740745262"/>
        </patternFill>
      </fill>
    </dxf>
    <dxf>
      <fill>
        <patternFill>
          <bgColor theme="9" tint="0.3999450666829432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9" tint="-0.499984740745262"/>
        </patternFill>
      </fill>
    </dxf>
    <dxf>
      <fill>
        <patternFill>
          <bgColor rgb="FF66FFFF"/>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theme="9" tint="0.39994506668294322"/>
        </patternFill>
      </fill>
    </dxf>
    <dxf>
      <fill>
        <patternFill>
          <bgColor rgb="FFB889DB"/>
        </patternFill>
      </fill>
    </dxf>
    <dxf>
      <fill>
        <patternFill>
          <bgColor rgb="FFFF7C80"/>
        </patternFill>
      </fill>
    </dxf>
    <dxf>
      <fill>
        <patternFill>
          <bgColor theme="8" tint="-0.499984740745262"/>
        </patternFill>
      </fill>
    </dxf>
    <dxf>
      <fill>
        <patternFill>
          <bgColor theme="2" tint="-9.9948118533890809E-2"/>
        </patternFill>
      </fill>
    </dxf>
    <dxf>
      <fill>
        <patternFill>
          <bgColor rgb="FFFF7C80"/>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7" tint="0.39994506668294322"/>
        </patternFill>
      </fill>
    </dxf>
    <dxf>
      <fill>
        <patternFill>
          <bgColor rgb="FFFF7C80"/>
        </patternFill>
      </fill>
    </dxf>
    <dxf>
      <fill>
        <patternFill>
          <bgColor theme="8" tint="-0.499984740745262"/>
        </patternFill>
      </fill>
    </dxf>
    <dxf>
      <fill>
        <patternFill>
          <bgColor theme="8" tint="-0.499984740745262"/>
        </patternFill>
      </fill>
    </dxf>
    <dxf>
      <fill>
        <patternFill>
          <bgColor theme="8" tint="-0.24994659260841701"/>
        </patternFill>
      </fill>
    </dxf>
    <dxf>
      <fill>
        <patternFill>
          <bgColor rgb="FFFF7C80"/>
        </patternFill>
      </fill>
    </dxf>
    <dxf>
      <fill>
        <patternFill>
          <bgColor rgb="FFFF7C80"/>
        </patternFill>
      </fill>
    </dxf>
    <dxf>
      <fill>
        <patternFill>
          <bgColor theme="7" tint="0.39994506668294322"/>
        </patternFill>
      </fill>
    </dxf>
    <dxf>
      <fill>
        <patternFill>
          <bgColor theme="8" tint="0.59996337778862885"/>
        </patternFill>
      </fill>
    </dxf>
    <dxf>
      <fill>
        <patternFill>
          <bgColor theme="8" tint="0.7999816888943144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8" tint="-0.499984740745262"/>
        </patternFill>
      </fill>
    </dxf>
    <dxf>
      <fill>
        <patternFill>
          <bgColor theme="9" tint="0.39994506668294322"/>
        </patternFill>
      </fill>
    </dxf>
    <dxf>
      <fill>
        <patternFill>
          <bgColor theme="4" tint="-0.499984740745262"/>
        </patternFill>
      </fill>
    </dxf>
    <dxf>
      <fill>
        <patternFill>
          <bgColor theme="8" tint="0.59996337778862885"/>
        </patternFill>
      </fill>
    </dxf>
    <dxf>
      <fill>
        <patternFill>
          <bgColor theme="9" tint="0.39994506668294322"/>
        </patternFill>
      </fill>
    </dxf>
    <dxf>
      <fill>
        <patternFill>
          <bgColor theme="8" tint="-0.24994659260841701"/>
        </patternFill>
      </fill>
    </dxf>
    <dxf>
      <fill>
        <patternFill>
          <bgColor theme="8" tint="0.79998168889431442"/>
        </patternFill>
      </fill>
    </dxf>
    <dxf>
      <fill>
        <patternFill>
          <bgColor theme="8" tint="-0.499984740745262"/>
        </patternFill>
      </fill>
    </dxf>
    <dxf>
      <fill>
        <patternFill>
          <bgColor rgb="FF66FFFF"/>
        </patternFill>
      </fill>
    </dxf>
    <dxf>
      <fill>
        <patternFill>
          <bgColor theme="9" tint="0.3999450666829432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9" tint="0.39994506668294322"/>
        </patternFill>
      </fill>
    </dxf>
    <dxf>
      <fill>
        <patternFill>
          <bgColor theme="8" tint="-0.499984740745262"/>
        </patternFill>
      </fill>
    </dxf>
    <dxf>
      <fill>
        <patternFill>
          <bgColor rgb="FFFF7C80"/>
        </patternFill>
      </fill>
    </dxf>
    <dxf>
      <fill>
        <patternFill>
          <bgColor rgb="FFB889DB"/>
        </patternFill>
      </fill>
    </dxf>
    <dxf>
      <fill>
        <patternFill>
          <bgColor rgb="FF66FFFF"/>
        </patternFill>
      </fill>
    </dxf>
    <dxf>
      <fill>
        <patternFill>
          <bgColor rgb="FF66FFFF"/>
        </patternFill>
      </fill>
    </dxf>
    <dxf>
      <fill>
        <patternFill>
          <bgColor rgb="FFFF7C80"/>
        </patternFill>
      </fill>
    </dxf>
    <dxf>
      <fill>
        <patternFill>
          <bgColor theme="8" tint="0.59996337778862885"/>
        </patternFill>
      </fill>
    </dxf>
    <dxf>
      <fill>
        <patternFill>
          <bgColor theme="8" tint="0.7999816888943144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24994659260841701"/>
        </patternFill>
      </fill>
    </dxf>
    <dxf>
      <fill>
        <patternFill>
          <bgColor theme="8" tint="-0.499984740745262"/>
        </patternFill>
      </fill>
    </dxf>
    <dxf>
      <fill>
        <patternFill>
          <bgColor theme="8" tint="-0.499984740745262"/>
        </patternFill>
      </fill>
    </dxf>
    <dxf>
      <fill>
        <patternFill>
          <bgColor theme="9" tint="0.39994506668294322"/>
        </patternFill>
      </fill>
    </dxf>
    <dxf>
      <fill>
        <patternFill>
          <bgColor theme="8" tint="0.79998168889431442"/>
        </patternFill>
      </fill>
    </dxf>
    <dxf>
      <fill>
        <patternFill>
          <bgColor theme="8" tint="0.59996337778862885"/>
        </patternFill>
      </fill>
    </dxf>
    <dxf>
      <fill>
        <patternFill>
          <bgColor rgb="FFFF7C80"/>
        </patternFill>
      </fill>
    </dxf>
    <dxf>
      <fill>
        <patternFill>
          <bgColor theme="8" tint="-0.24994659260841701"/>
        </patternFill>
      </fill>
    </dxf>
    <dxf>
      <fill>
        <patternFill>
          <bgColor theme="2" tint="-9.9948118533890809E-2"/>
        </patternFill>
      </fill>
    </dxf>
    <dxf>
      <fill>
        <patternFill>
          <bgColor rgb="FFFF7C80"/>
        </patternFill>
      </fill>
    </dxf>
    <dxf>
      <fill>
        <patternFill>
          <bgColor theme="8" tint="0.59996337778862885"/>
        </patternFill>
      </fill>
    </dxf>
    <dxf>
      <fill>
        <patternFill>
          <bgColor theme="8" tint="-0.499984740745262"/>
        </patternFill>
      </fill>
    </dxf>
    <dxf>
      <fill>
        <patternFill>
          <bgColor theme="7" tint="0.39994506668294322"/>
        </patternFill>
      </fill>
    </dxf>
    <dxf>
      <fill>
        <patternFill>
          <bgColor theme="9" tint="-0.499984740745262"/>
        </patternFill>
      </fill>
    </dxf>
    <dxf>
      <fill>
        <patternFill>
          <bgColor theme="8" tint="0.79998168889431442"/>
        </patternFill>
      </fill>
    </dxf>
    <dxf>
      <fill>
        <patternFill>
          <bgColor theme="7" tint="0.39994506668294322"/>
        </patternFill>
      </fill>
    </dxf>
    <dxf>
      <fill>
        <patternFill>
          <bgColor theme="8" tint="-0.499984740745262"/>
        </patternFill>
      </fill>
    </dxf>
    <dxf>
      <fill>
        <patternFill>
          <bgColor theme="9" tint="0.39994506668294322"/>
        </patternFill>
      </fill>
    </dxf>
    <dxf>
      <fill>
        <patternFill>
          <bgColor rgb="FF66FFFF"/>
        </patternFill>
      </fill>
    </dxf>
    <dxf>
      <fill>
        <patternFill>
          <bgColor theme="7" tint="0.39994506668294322"/>
        </patternFill>
      </fill>
    </dxf>
    <dxf>
      <fill>
        <patternFill>
          <bgColor rgb="FFFF7C80"/>
        </patternFill>
      </fill>
    </dxf>
    <dxf>
      <fill>
        <patternFill>
          <bgColor theme="8" tint="0.59996337778862885"/>
        </patternFill>
      </fill>
    </dxf>
    <dxf>
      <fill>
        <patternFill>
          <bgColor theme="8" tint="0.79998168889431442"/>
        </patternFill>
      </fill>
    </dxf>
    <dxf>
      <fill>
        <patternFill>
          <bgColor theme="8" tint="0.79998168889431442"/>
        </patternFill>
      </fill>
    </dxf>
    <dxf>
      <fill>
        <patternFill>
          <bgColor theme="9" tint="-0.499984740745262"/>
        </patternFill>
      </fill>
    </dxf>
    <dxf>
      <fill>
        <patternFill>
          <bgColor theme="8" tint="-0.499984740745262"/>
        </patternFill>
      </fill>
    </dxf>
    <dxf>
      <fill>
        <patternFill>
          <bgColor theme="8" tint="-0.24994659260841701"/>
        </patternFill>
      </fill>
    </dxf>
    <dxf>
      <fill>
        <patternFill>
          <bgColor rgb="FFFF7C80"/>
        </patternFill>
      </fill>
    </dxf>
    <dxf>
      <fill>
        <patternFill>
          <bgColor theme="2" tint="-9.9948118533890809E-2"/>
        </patternFill>
      </fill>
    </dxf>
    <dxf>
      <fill>
        <patternFill>
          <bgColor theme="8"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rgb="FFFF7C80"/>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8" tint="0.59996337778862885"/>
        </patternFill>
      </fill>
    </dxf>
    <dxf>
      <fill>
        <patternFill>
          <bgColor rgb="FF66FFFF"/>
        </patternFill>
      </fill>
    </dxf>
    <dxf>
      <fill>
        <patternFill>
          <bgColor theme="9" tint="0.3999450666829432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rgb="FF66FFFF"/>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rgb="FF66FFFF"/>
        </patternFill>
      </fill>
    </dxf>
    <dxf>
      <fill>
        <patternFill>
          <bgColor theme="7" tint="0.39994506668294322"/>
        </patternFill>
      </fill>
    </dxf>
    <dxf>
      <fill>
        <patternFill>
          <bgColor theme="9" tint="0.39994506668294322"/>
        </patternFill>
      </fill>
    </dxf>
    <dxf>
      <fill>
        <patternFill>
          <bgColor rgb="FFB889DB"/>
        </patternFill>
      </fill>
    </dxf>
    <dxf>
      <fill>
        <patternFill>
          <bgColor rgb="FFFF7C80"/>
        </patternFill>
      </fill>
    </dxf>
    <dxf>
      <fill>
        <patternFill>
          <bgColor theme="2" tint="-9.9948118533890809E-2"/>
        </patternFill>
      </fill>
    </dxf>
    <dxf>
      <fill>
        <patternFill>
          <bgColor rgb="FFFF7C80"/>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rgb="FF66FFFF"/>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rgb="FF66FFFF"/>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8" tint="-0.499984740745262"/>
        </patternFill>
      </fill>
    </dxf>
    <dxf>
      <fill>
        <patternFill>
          <bgColor rgb="FFFF7C80"/>
        </patternFill>
      </fill>
    </dxf>
    <dxf>
      <fill>
        <patternFill>
          <bgColor theme="9" tint="0.39994506668294322"/>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rgb="FF66FFFF"/>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rgb="FF66FFFF"/>
        </patternFill>
      </fill>
    </dxf>
    <dxf>
      <fill>
        <patternFill>
          <bgColor theme="4" tint="-0.499984740745262"/>
        </patternFill>
      </fill>
    </dxf>
    <dxf>
      <fill>
        <patternFill>
          <bgColor theme="7" tint="0.39994506668294322"/>
        </patternFill>
      </fill>
    </dxf>
    <dxf>
      <fill>
        <patternFill>
          <bgColor theme="9" tint="0.39994506668294322"/>
        </patternFill>
      </fill>
    </dxf>
    <dxf>
      <fill>
        <patternFill>
          <bgColor theme="8" tint="-0.499984740745262"/>
        </patternFill>
      </fill>
    </dxf>
    <dxf>
      <fill>
        <patternFill>
          <bgColor rgb="FFFF7C80"/>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theme="9" tint="0.39994506668294322"/>
        </patternFill>
      </fill>
    </dxf>
    <dxf>
      <fill>
        <patternFill>
          <bgColor rgb="FFB889DB"/>
        </patternFill>
      </fill>
    </dxf>
    <dxf>
      <fill>
        <patternFill>
          <bgColor theme="8" tint="0.79998168889431442"/>
        </patternFill>
      </fill>
    </dxf>
    <dxf>
      <fill>
        <patternFill>
          <bgColor theme="8" tint="0.59996337778862885"/>
        </patternFill>
      </fill>
    </dxf>
    <dxf>
      <fill>
        <patternFill>
          <bgColor rgb="FFFF7C80"/>
        </patternFill>
      </fill>
    </dxf>
    <dxf>
      <fill>
        <patternFill>
          <bgColor theme="8" tint="-0.24994659260841701"/>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rgb="FFFF7C80"/>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rgb="FF66FFFF"/>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rgb="FF66FFFF"/>
        </patternFill>
      </fill>
    </dxf>
    <dxf>
      <fill>
        <patternFill>
          <bgColor rgb="FFFF7C80"/>
        </patternFill>
      </fill>
    </dxf>
    <dxf>
      <fill>
        <patternFill>
          <bgColor theme="8" tint="0.79998168889431442"/>
        </patternFill>
      </fill>
    </dxf>
    <dxf>
      <fill>
        <patternFill>
          <bgColor theme="8" tint="-0.24994659260841701"/>
        </patternFill>
      </fill>
    </dxf>
    <dxf>
      <fill>
        <patternFill>
          <bgColor theme="8" tint="0.59996337778862885"/>
        </patternFill>
      </fill>
    </dxf>
    <dxf>
      <fill>
        <patternFill>
          <bgColor theme="2" tint="-9.9948118533890809E-2"/>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8" tint="-0.24994659260841701"/>
        </patternFill>
      </fill>
    </dxf>
    <dxf>
      <fill>
        <patternFill>
          <bgColor theme="7" tint="0.39994506668294322"/>
        </patternFill>
      </fill>
    </dxf>
    <dxf>
      <fill>
        <patternFill>
          <bgColor rgb="FFFF7C80"/>
        </patternFill>
      </fill>
    </dxf>
    <dxf>
      <fill>
        <patternFill>
          <bgColor rgb="FF66FFFF"/>
        </patternFill>
      </fill>
    </dxf>
    <dxf>
      <fill>
        <patternFill>
          <bgColor theme="8" tint="-0.499984740745262"/>
        </patternFill>
      </fill>
    </dxf>
    <dxf>
      <fill>
        <patternFill>
          <bgColor theme="8" tint="0.79998168889431442"/>
        </patternFill>
      </fill>
    </dxf>
    <dxf>
      <fill>
        <patternFill>
          <bgColor theme="8" tint="0.59996337778862885"/>
        </patternFill>
      </fill>
    </dxf>
    <dxf>
      <fill>
        <patternFill>
          <bgColor theme="8" tint="0.79998168889431442"/>
        </patternFill>
      </fill>
    </dxf>
    <dxf>
      <fill>
        <patternFill>
          <bgColor rgb="FFFF7C80"/>
        </patternFill>
      </fill>
    </dxf>
    <dxf>
      <fill>
        <patternFill>
          <bgColor rgb="FF66FFFF"/>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8" tint="-0.499984740745262"/>
        </patternFill>
      </fill>
    </dxf>
    <dxf>
      <fill>
        <patternFill>
          <bgColor theme="9" tint="0.39994506668294322"/>
        </patternFill>
      </fill>
    </dxf>
    <dxf>
      <fill>
        <patternFill>
          <bgColor theme="2" tint="-9.9948118533890809E-2"/>
        </patternFill>
      </fill>
    </dxf>
    <dxf>
      <fill>
        <patternFill>
          <bgColor theme="8" tint="-0.499984740745262"/>
        </patternFill>
      </fill>
    </dxf>
    <dxf>
      <fill>
        <patternFill>
          <bgColor theme="8" tint="0.79998168889431442"/>
        </patternFill>
      </fill>
    </dxf>
    <dxf>
      <fill>
        <patternFill>
          <bgColor rgb="FFFF7C80"/>
        </patternFill>
      </fill>
    </dxf>
    <dxf>
      <fill>
        <patternFill>
          <bgColor rgb="FFB889DB"/>
        </patternFill>
      </fill>
    </dxf>
    <dxf>
      <fill>
        <patternFill>
          <bgColor theme="9" tint="0.39994506668294322"/>
        </patternFill>
      </fill>
    </dxf>
    <dxf>
      <fill>
        <patternFill>
          <bgColor theme="8" tint="0.79998168889431442"/>
        </patternFill>
      </fill>
    </dxf>
    <dxf>
      <fill>
        <patternFill>
          <bgColor theme="8" tint="0.59996337778862885"/>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rgb="FF66FFFF"/>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499984740745262"/>
        </patternFill>
      </fill>
    </dxf>
    <dxf>
      <fill>
        <patternFill>
          <bgColor theme="8" tint="0.59996337778862885"/>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7" tint="0.39994506668294322"/>
        </patternFill>
      </fill>
    </dxf>
    <dxf>
      <fill>
        <patternFill>
          <bgColor rgb="FFFF7C80"/>
        </patternFill>
      </fill>
    </dxf>
    <dxf>
      <fill>
        <patternFill>
          <bgColor rgb="FF66FFFF"/>
        </patternFill>
      </fill>
    </dxf>
    <dxf>
      <fill>
        <patternFill>
          <bgColor theme="9" tint="0.39994506668294322"/>
        </patternFill>
      </fill>
    </dxf>
    <dxf>
      <fill>
        <patternFill>
          <bgColor theme="8" tint="-0.24994659260841701"/>
        </patternFill>
      </fill>
    </dxf>
    <dxf>
      <fill>
        <patternFill>
          <bgColor rgb="FFFF7C80"/>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8" tint="0.7999816888943144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rgb="FF66FFFF"/>
        </patternFill>
      </fill>
    </dxf>
    <dxf>
      <fill>
        <patternFill>
          <bgColor rgb="FFFF7C80"/>
        </patternFill>
      </fill>
    </dxf>
    <dxf>
      <fill>
        <patternFill>
          <bgColor theme="7" tint="0.39994506668294322"/>
        </patternFill>
      </fill>
    </dxf>
    <dxf>
      <fill>
        <patternFill>
          <bgColor theme="8" tint="-0.49998474074526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4" tint="-0.499984740745262"/>
        </patternFill>
      </fill>
    </dxf>
    <dxf>
      <fill>
        <patternFill>
          <bgColor theme="8" tint="0.59996337778862885"/>
        </patternFill>
      </fill>
    </dxf>
    <dxf>
      <fill>
        <patternFill>
          <bgColor theme="8" tint="-0.24994659260841701"/>
        </patternFill>
      </fill>
    </dxf>
    <dxf>
      <fill>
        <patternFill>
          <bgColor theme="8" tint="0.79998168889431442"/>
        </patternFill>
      </fill>
    </dxf>
    <dxf>
      <fill>
        <patternFill>
          <bgColor rgb="FF66FFFF"/>
        </patternFill>
      </fill>
    </dxf>
    <dxf>
      <fill>
        <patternFill>
          <bgColor rgb="FFFF7C80"/>
        </patternFill>
      </fill>
    </dxf>
    <dxf>
      <fill>
        <patternFill>
          <bgColor rgb="FF66FFFF"/>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rgb="FF66FFFF"/>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rgb="FFB889DB"/>
        </patternFill>
      </fill>
    </dxf>
    <dxf>
      <fill>
        <patternFill>
          <bgColor theme="4" tint="-0.499984740745262"/>
        </patternFill>
      </fill>
    </dxf>
    <dxf>
      <fill>
        <patternFill>
          <bgColor theme="9" tint="-0.49998474074526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39994506668294322"/>
        </patternFill>
      </fill>
    </dxf>
    <dxf>
      <fill>
        <patternFill>
          <bgColor theme="8" tint="-0.499984740745262"/>
        </patternFill>
      </fill>
    </dxf>
    <dxf>
      <fill>
        <patternFill>
          <bgColor rgb="FF66FFFF"/>
        </patternFill>
      </fill>
    </dxf>
    <dxf>
      <fill>
        <patternFill>
          <bgColor rgb="FFFF7C80"/>
        </patternFill>
      </fill>
    </dxf>
    <dxf>
      <fill>
        <patternFill>
          <bgColor theme="7" tint="0.39994506668294322"/>
        </patternFill>
      </fill>
    </dxf>
    <dxf>
      <fill>
        <patternFill>
          <bgColor rgb="FF66FFFF"/>
        </patternFill>
      </fill>
    </dxf>
    <dxf>
      <fill>
        <patternFill>
          <bgColor rgb="FFFF7C80"/>
        </patternFill>
      </fill>
    </dxf>
    <dxf>
      <fill>
        <patternFill>
          <bgColor theme="7" tint="0.3999450666829432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9" tint="-0.499984740745262"/>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9" tint="0.39994506668294322"/>
        </patternFill>
      </fill>
    </dxf>
    <dxf>
      <fill>
        <patternFill>
          <bgColor rgb="FF66FFFF"/>
        </patternFill>
      </fill>
    </dxf>
    <dxf>
      <fill>
        <patternFill>
          <bgColor rgb="FF66FFFF"/>
        </patternFill>
      </fill>
    </dxf>
    <dxf>
      <fill>
        <patternFill>
          <bgColor rgb="FFB889DB"/>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theme="9" tint="-0.499984740745262"/>
        </patternFill>
      </fill>
    </dxf>
    <dxf>
      <fill>
        <patternFill>
          <bgColor theme="4" tint="-0.499984740745262"/>
        </patternFill>
      </fill>
    </dxf>
    <dxf>
      <fill>
        <patternFill>
          <bgColor theme="8" tint="-0.499984740745262"/>
        </patternFill>
      </fill>
    </dxf>
    <dxf>
      <fill>
        <patternFill>
          <bgColor theme="8" tint="-0.24994659260841701"/>
        </patternFill>
      </fill>
    </dxf>
    <dxf>
      <fill>
        <patternFill>
          <bgColor theme="8" tint="0.59996337778862885"/>
        </patternFill>
      </fill>
    </dxf>
    <dxf>
      <fill>
        <patternFill>
          <bgColor theme="8" tint="-0.499984740745262"/>
        </patternFill>
      </fill>
    </dxf>
    <dxf>
      <fill>
        <patternFill>
          <bgColor theme="9" tint="-0.499984740745262"/>
        </patternFill>
      </fill>
    </dxf>
    <dxf>
      <fill>
        <patternFill>
          <bgColor theme="8" tint="0.79998168889431442"/>
        </patternFill>
      </fill>
    </dxf>
    <dxf>
      <fill>
        <patternFill>
          <bgColor theme="4" tint="-0.499984740745262"/>
        </patternFill>
      </fill>
    </dxf>
    <dxf>
      <fill>
        <patternFill>
          <bgColor theme="9" tint="0.39994506668294322"/>
        </patternFill>
      </fill>
    </dxf>
    <dxf>
      <fill>
        <patternFill>
          <bgColor rgb="FFFF7C80"/>
        </patternFill>
      </fill>
    </dxf>
    <dxf>
      <fill>
        <patternFill>
          <bgColor theme="7" tint="0.39994506668294322"/>
        </patternFill>
      </fill>
    </dxf>
    <dxf>
      <fill>
        <patternFill>
          <bgColor theme="8" tint="-0.24994659260841701"/>
        </patternFill>
      </fill>
    </dxf>
    <dxf>
      <fill>
        <patternFill>
          <bgColor rgb="FFFF7C80"/>
        </patternFill>
      </fill>
    </dxf>
    <dxf>
      <fill>
        <patternFill>
          <bgColor theme="7" tint="0.3999450666829432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B889DB"/>
        </patternFill>
      </fill>
    </dxf>
    <dxf>
      <fill>
        <patternFill>
          <bgColor theme="4" tint="-0.499984740745262"/>
        </patternFill>
      </fill>
    </dxf>
    <dxf>
      <fill>
        <patternFill>
          <bgColor theme="8" tint="-0.499984740745262"/>
        </patternFill>
      </fill>
    </dxf>
    <dxf>
      <fill>
        <patternFill>
          <bgColor theme="9" tint="-0.499984740745262"/>
        </patternFill>
      </fill>
    </dxf>
    <dxf>
      <fill>
        <patternFill>
          <bgColor theme="8" tint="-0.24994659260841701"/>
        </patternFill>
      </fill>
    </dxf>
    <dxf>
      <fill>
        <patternFill>
          <bgColor theme="8" tint="0.59996337778862885"/>
        </patternFill>
      </fill>
    </dxf>
    <dxf>
      <fill>
        <patternFill>
          <bgColor rgb="FFFF7C80"/>
        </patternFill>
      </fill>
    </dxf>
    <dxf>
      <fill>
        <patternFill>
          <bgColor theme="8" tint="0.79998168889431442"/>
        </patternFill>
      </fill>
    </dxf>
    <dxf>
      <fill>
        <patternFill>
          <bgColor rgb="FF66FFFF"/>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8" tint="0.59996337778862885"/>
        </patternFill>
      </fill>
    </dxf>
    <dxf>
      <fill>
        <patternFill>
          <bgColor theme="8" tint="0.79998168889431442"/>
        </patternFill>
      </fill>
    </dxf>
    <dxf>
      <fill>
        <patternFill>
          <bgColor rgb="FFB889DB"/>
        </patternFill>
      </fill>
    </dxf>
    <dxf>
      <fill>
        <patternFill>
          <bgColor theme="9" tint="0.39994506668294322"/>
        </patternFill>
      </fill>
    </dxf>
    <dxf>
      <fill>
        <patternFill>
          <bgColor theme="8" tint="-0.499984740745262"/>
        </patternFill>
      </fill>
    </dxf>
    <dxf>
      <fill>
        <patternFill>
          <bgColor theme="9" tint="-0.499984740745262"/>
        </patternFill>
      </fill>
    </dxf>
    <dxf>
      <fill>
        <patternFill>
          <bgColor theme="9" tint="0.3999450666829432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rgb="FFFF7C80"/>
        </patternFill>
      </fill>
    </dxf>
    <dxf>
      <fill>
        <patternFill>
          <bgColor theme="8" tint="0.59996337778862885"/>
        </patternFill>
      </fill>
    </dxf>
    <dxf>
      <fill>
        <patternFill>
          <bgColor theme="8" tint="-0.24994659260841701"/>
        </patternFill>
      </fill>
    </dxf>
    <dxf>
      <fill>
        <patternFill>
          <bgColor theme="9" tint="0.39994506668294322"/>
        </patternFill>
      </fill>
    </dxf>
    <dxf>
      <fill>
        <patternFill>
          <bgColor theme="8" tint="0.79998168889431442"/>
        </patternFill>
      </fill>
    </dxf>
    <dxf>
      <fill>
        <patternFill>
          <bgColor theme="8" tint="-0.499984740745262"/>
        </patternFill>
      </fill>
    </dxf>
    <dxf>
      <fill>
        <patternFill>
          <bgColor rgb="FF66FFFF"/>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39994506668294322"/>
        </patternFill>
      </fill>
    </dxf>
    <dxf>
      <fill>
        <patternFill>
          <bgColor theme="8" tint="-0.499984740745262"/>
        </patternFill>
      </fill>
    </dxf>
    <dxf>
      <fill>
        <patternFill>
          <bgColor rgb="FFFF7C80"/>
        </patternFill>
      </fill>
    </dxf>
    <dxf>
      <fill>
        <patternFill>
          <bgColor theme="8" tint="0.79998168889431442"/>
        </patternFill>
      </fill>
    </dxf>
    <dxf>
      <fill>
        <patternFill>
          <bgColor rgb="FF66FFFF"/>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rgb="FF66FFFF"/>
        </patternFill>
      </fill>
    </dxf>
    <dxf>
      <fill>
        <patternFill>
          <bgColor theme="7" tint="0.39994506668294322"/>
        </patternFill>
      </fill>
    </dxf>
    <dxf>
      <fill>
        <patternFill>
          <bgColor theme="8" tint="-0.499984740745262"/>
        </patternFill>
      </fill>
    </dxf>
    <dxf>
      <fill>
        <patternFill>
          <bgColor theme="4" tint="-0.499984740745262"/>
        </patternFill>
      </fill>
    </dxf>
    <dxf>
      <fill>
        <patternFill>
          <bgColor rgb="FFFF7C80"/>
        </patternFill>
      </fill>
    </dxf>
    <dxf>
      <fill>
        <patternFill>
          <bgColor theme="9" tint="0.3999450666829432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rgb="FF66FFFF"/>
        </patternFill>
      </fill>
    </dxf>
    <dxf>
      <fill>
        <patternFill>
          <bgColor theme="8" tint="-0.24994659260841701"/>
        </patternFill>
      </fill>
    </dxf>
    <dxf>
      <fill>
        <patternFill>
          <bgColor rgb="FFFF7C80"/>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8" tint="0.79998168889431442"/>
        </patternFill>
      </fill>
    </dxf>
    <dxf>
      <fill>
        <patternFill>
          <bgColor theme="8" tint="-0.499984740745262"/>
        </patternFill>
      </fill>
    </dxf>
    <dxf>
      <fill>
        <patternFill>
          <bgColor rgb="FFFF7C80"/>
        </patternFill>
      </fill>
    </dxf>
    <dxf>
      <fill>
        <patternFill>
          <bgColor theme="9" tint="-0.499984740745262"/>
        </patternFill>
      </fill>
    </dxf>
    <dxf>
      <fill>
        <patternFill>
          <bgColor theme="9" tint="-0.499984740745262"/>
        </patternFill>
      </fill>
    </dxf>
    <dxf>
      <fill>
        <patternFill>
          <bgColor theme="4" tint="-0.499984740745262"/>
        </patternFill>
      </fill>
    </dxf>
    <dxf>
      <fill>
        <patternFill>
          <bgColor theme="7" tint="0.39994506668294322"/>
        </patternFill>
      </fill>
    </dxf>
    <dxf>
      <fill>
        <patternFill>
          <bgColor theme="8" tint="0.59996337778862885"/>
        </patternFill>
      </fill>
    </dxf>
    <dxf>
      <fill>
        <patternFill>
          <bgColor theme="7" tint="0.39994506668294322"/>
        </patternFill>
      </fill>
    </dxf>
    <dxf>
      <fill>
        <patternFill>
          <bgColor rgb="FFFF7C80"/>
        </patternFill>
      </fill>
    </dxf>
    <dxf>
      <fill>
        <patternFill>
          <bgColor theme="8" tint="-0.499984740745262"/>
        </patternFill>
      </fill>
    </dxf>
    <dxf>
      <fill>
        <patternFill>
          <bgColor rgb="FFFF7C80"/>
        </patternFill>
      </fill>
    </dxf>
    <dxf>
      <fill>
        <patternFill>
          <bgColor theme="8" tint="-0.24994659260841701"/>
        </patternFill>
      </fill>
    </dxf>
    <dxf>
      <fill>
        <patternFill>
          <bgColor theme="8" tint="0.79998168889431442"/>
        </patternFill>
      </fill>
    </dxf>
    <dxf>
      <fill>
        <patternFill>
          <bgColor theme="8" tint="-0.24994659260841701"/>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8" tint="0.59996337778862885"/>
        </patternFill>
      </fill>
    </dxf>
    <dxf>
      <fill>
        <patternFill>
          <bgColor theme="8" tint="0.7999816888943144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79998168889431442"/>
        </patternFill>
      </fill>
    </dxf>
    <dxf>
      <fill>
        <patternFill>
          <bgColor theme="8" tint="0.59996337778862885"/>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39994506668294322"/>
        </patternFill>
      </fill>
    </dxf>
    <dxf>
      <fill>
        <patternFill>
          <bgColor theme="8" tint="-0.499984740745262"/>
        </patternFill>
      </fill>
    </dxf>
    <dxf>
      <fill>
        <patternFill>
          <bgColor rgb="FFFF7C80"/>
        </patternFill>
      </fill>
    </dxf>
    <dxf>
      <fill>
        <patternFill>
          <bgColor theme="8" tint="-0.24994659260841701"/>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rgb="FF66FFFF"/>
        </patternFill>
      </fill>
    </dxf>
    <dxf>
      <fill>
        <patternFill>
          <bgColor theme="4" tint="-0.499984740745262"/>
        </patternFill>
      </fill>
    </dxf>
    <dxf>
      <fill>
        <patternFill>
          <bgColor theme="9" tint="-0.499984740745262"/>
        </patternFill>
      </fill>
    </dxf>
    <dxf>
      <fill>
        <patternFill>
          <bgColor rgb="FF66FFFF"/>
        </patternFill>
      </fill>
    </dxf>
    <dxf>
      <fill>
        <patternFill>
          <bgColor theme="8" tint="-0.499984740745262"/>
        </patternFill>
      </fill>
    </dxf>
    <dxf>
      <fill>
        <patternFill>
          <bgColor rgb="FF66FFFF"/>
        </patternFill>
      </fill>
    </dxf>
    <dxf>
      <fill>
        <patternFill>
          <bgColor theme="7" tint="0.39994506668294322"/>
        </patternFill>
      </fill>
    </dxf>
    <dxf>
      <fill>
        <patternFill>
          <bgColor theme="8" tint="-0.499984740745262"/>
        </patternFill>
      </fill>
    </dxf>
    <dxf>
      <fill>
        <patternFill>
          <bgColor theme="8" tint="-0.24994659260841701"/>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79998168889431442"/>
        </patternFill>
      </fill>
    </dxf>
    <dxf>
      <fill>
        <patternFill>
          <bgColor rgb="FFB889DB"/>
        </patternFill>
      </fill>
    </dxf>
    <dxf>
      <fill>
        <patternFill>
          <bgColor rgb="FF66FFFF"/>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8" tint="-0.499984740745262"/>
        </patternFill>
      </fill>
    </dxf>
    <dxf>
      <fill>
        <patternFill>
          <bgColor theme="9" tint="-0.49998474074526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theme="8" tint="-0.499984740745262"/>
        </patternFill>
      </fill>
    </dxf>
    <dxf>
      <fill>
        <patternFill>
          <bgColor theme="9"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rgb="FF66FFFF"/>
        </patternFill>
      </fill>
    </dxf>
    <dxf>
      <fill>
        <patternFill>
          <bgColor theme="9" tint="0.39994506668294322"/>
        </patternFill>
      </fill>
    </dxf>
    <dxf>
      <fill>
        <patternFill>
          <bgColor theme="9" tint="0.39994506668294322"/>
        </patternFill>
      </fill>
    </dxf>
    <dxf>
      <fill>
        <patternFill>
          <bgColor rgb="FF66FFFF"/>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4" tint="-0.499984740745262"/>
        </patternFill>
      </fill>
    </dxf>
    <dxf>
      <fill>
        <patternFill>
          <bgColor theme="7" tint="0.39994506668294322"/>
        </patternFill>
      </fill>
    </dxf>
    <dxf>
      <fill>
        <patternFill>
          <bgColor theme="9" tint="0.39994506668294322"/>
        </patternFill>
      </fill>
    </dxf>
    <dxf>
      <fill>
        <patternFill>
          <bgColor theme="8" tint="-0.499984740745262"/>
        </patternFill>
      </fill>
    </dxf>
    <dxf>
      <fill>
        <patternFill>
          <bgColor rgb="FFFF7C80"/>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9"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rgb="FF66FFFF"/>
        </patternFill>
      </fill>
    </dxf>
    <dxf>
      <fill>
        <patternFill>
          <bgColor theme="7" tint="0.39994506668294322"/>
        </patternFill>
      </fill>
    </dxf>
    <dxf>
      <fill>
        <patternFill>
          <bgColor theme="8" tint="-0.499984740745262"/>
        </patternFill>
      </fill>
    </dxf>
    <dxf>
      <fill>
        <patternFill>
          <bgColor theme="9" tint="-0.499984740745262"/>
        </patternFill>
      </fill>
    </dxf>
    <dxf>
      <fill>
        <patternFill>
          <bgColor rgb="FFFF7C80"/>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8" tint="-0.24994659260841701"/>
        </patternFill>
      </fill>
    </dxf>
    <dxf>
      <fill>
        <patternFill>
          <bgColor theme="8" tint="0.79998168889431442"/>
        </patternFill>
      </fill>
    </dxf>
    <dxf>
      <fill>
        <patternFill>
          <bgColor theme="8" tint="0.59996337778862885"/>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rgb="FFFF7C80"/>
        </patternFill>
      </fill>
    </dxf>
    <dxf>
      <fill>
        <patternFill>
          <bgColor theme="7" tint="0.39994506668294322"/>
        </patternFill>
      </fill>
    </dxf>
    <dxf>
      <fill>
        <patternFill>
          <bgColor theme="8" tint="-0.499984740745262"/>
        </patternFill>
      </fill>
    </dxf>
    <dxf>
      <fill>
        <patternFill>
          <bgColor rgb="FFFF7C80"/>
        </patternFill>
      </fill>
    </dxf>
    <dxf>
      <fill>
        <patternFill>
          <bgColor theme="2" tint="-9.9948118533890809E-2"/>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9" tint="0.39994506668294322"/>
        </patternFill>
      </fill>
    </dxf>
    <dxf>
      <fill>
        <patternFill>
          <bgColor rgb="FF66FFFF"/>
        </patternFill>
      </fill>
    </dxf>
    <dxf>
      <fill>
        <patternFill>
          <bgColor rgb="FFB889DB"/>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rgb="FFB889DB"/>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9" tint="0.39994506668294322"/>
        </patternFill>
      </fill>
    </dxf>
    <dxf>
      <fill>
        <patternFill>
          <bgColor theme="8" tint="-0.49998474074526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rgb="FF66FFFF"/>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4" tint="-0.499984740745262"/>
        </patternFill>
      </fill>
    </dxf>
    <dxf>
      <fill>
        <patternFill>
          <bgColor theme="9" tint="-0.499984740745262"/>
        </patternFill>
      </fill>
    </dxf>
    <dxf>
      <fill>
        <patternFill>
          <bgColor theme="8" tint="-0.49998474074526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rgb="FF66FFFF"/>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39994506668294322"/>
        </patternFill>
      </fill>
    </dxf>
    <dxf>
      <fill>
        <patternFill>
          <bgColor theme="8" tint="-0.499984740745262"/>
        </patternFill>
      </fill>
    </dxf>
    <dxf>
      <fill>
        <patternFill>
          <bgColor theme="9" tint="0.39994506668294322"/>
        </patternFill>
      </fill>
    </dxf>
    <dxf>
      <fill>
        <patternFill>
          <bgColor rgb="FF66FFFF"/>
        </patternFill>
      </fill>
    </dxf>
    <dxf>
      <fill>
        <patternFill>
          <bgColor theme="8" tint="-0.49998474074526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rgb="FFFF7C80"/>
        </patternFill>
      </fill>
    </dxf>
    <dxf>
      <fill>
        <patternFill>
          <bgColor theme="8" tint="-0.499984740745262"/>
        </patternFill>
      </fill>
    </dxf>
    <dxf>
      <fill>
        <patternFill>
          <bgColor rgb="FFB889DB"/>
        </patternFill>
      </fill>
    </dxf>
    <dxf>
      <fill>
        <patternFill>
          <bgColor theme="7" tint="0.39994506668294322"/>
        </patternFill>
      </fill>
    </dxf>
    <dxf>
      <fill>
        <patternFill>
          <bgColor theme="9" tint="0.39994506668294322"/>
        </patternFill>
      </fill>
    </dxf>
    <dxf>
      <fill>
        <patternFill>
          <bgColor rgb="FF66FFFF"/>
        </patternFill>
      </fill>
    </dxf>
    <dxf>
      <fill>
        <patternFill>
          <bgColor theme="8" tint="-0.499984740745262"/>
        </patternFill>
      </fill>
    </dxf>
    <dxf>
      <fill>
        <patternFill>
          <bgColor theme="9" tint="0.39994506668294322"/>
        </patternFill>
      </fill>
    </dxf>
    <dxf>
      <fill>
        <patternFill>
          <bgColor rgb="FF66FFFF"/>
        </patternFill>
      </fill>
    </dxf>
    <dxf>
      <fill>
        <patternFill>
          <bgColor theme="8" tint="-0.24994659260841701"/>
        </patternFill>
      </fill>
    </dxf>
    <dxf>
      <fill>
        <patternFill>
          <bgColor theme="8" tint="0.59996337778862885"/>
        </patternFill>
      </fill>
    </dxf>
    <dxf>
      <fill>
        <patternFill>
          <bgColor theme="7" tint="0.39994506668294322"/>
        </patternFill>
      </fill>
    </dxf>
    <dxf>
      <fill>
        <patternFill>
          <bgColor theme="8" tint="0.79998168889431442"/>
        </patternFill>
      </fill>
    </dxf>
    <dxf>
      <fill>
        <patternFill>
          <bgColor rgb="FFFF7C80"/>
        </patternFill>
      </fill>
    </dxf>
    <dxf>
      <fill>
        <patternFill>
          <bgColor theme="7" tint="0.3999450666829432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rgb="FFB889DB"/>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9" tint="0.39994506668294322"/>
        </patternFill>
      </fill>
    </dxf>
    <dxf>
      <fill>
        <patternFill>
          <bgColor rgb="FF66FFFF"/>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rgb="FF66FFFF"/>
        </patternFill>
      </fill>
    </dxf>
    <dxf>
      <fill>
        <patternFill>
          <bgColor theme="8" tint="-0.499984740745262"/>
        </patternFill>
      </fill>
    </dxf>
    <dxf>
      <fill>
        <patternFill>
          <bgColor theme="9" tint="-0.49998474074526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9" tint="0.39994506668294322"/>
        </patternFill>
      </fill>
    </dxf>
    <dxf>
      <fill>
        <patternFill>
          <bgColor rgb="FF66FFFF"/>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499984740745262"/>
        </patternFill>
      </fill>
    </dxf>
    <dxf>
      <fill>
        <patternFill>
          <bgColor theme="9" tint="0.39994506668294322"/>
        </patternFill>
      </fill>
    </dxf>
    <dxf>
      <fill>
        <patternFill>
          <bgColor rgb="FF66FFFF"/>
        </patternFill>
      </fill>
    </dxf>
    <dxf>
      <fill>
        <patternFill>
          <bgColor rgb="FF66FFFF"/>
        </patternFill>
      </fill>
    </dxf>
    <dxf>
      <fill>
        <patternFill>
          <bgColor theme="9" tint="0.39994506668294322"/>
        </patternFill>
      </fill>
    </dxf>
    <dxf>
      <fill>
        <patternFill>
          <bgColor theme="8" tint="-0.499984740745262"/>
        </patternFill>
      </fill>
    </dxf>
    <dxf>
      <fill>
        <patternFill>
          <bgColor theme="8" tint="-0.499984740745262"/>
        </patternFill>
      </fill>
    </dxf>
    <dxf>
      <fill>
        <patternFill>
          <bgColor theme="9" tint="0.39994506668294322"/>
        </patternFill>
      </fill>
    </dxf>
    <dxf>
      <fill>
        <patternFill>
          <bgColor rgb="FF66FFFF"/>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rgb="FF66FFFF"/>
        </patternFill>
      </fill>
    </dxf>
    <dxf>
      <fill>
        <patternFill>
          <bgColor theme="7" tint="0.3999450666829432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rgb="FFFF7C80"/>
        </patternFill>
      </fill>
    </dxf>
    <dxf>
      <fill>
        <patternFill>
          <bgColor theme="2" tint="-9.9948118533890809E-2"/>
        </patternFill>
      </fill>
    </dxf>
    <dxf>
      <fill>
        <patternFill>
          <bgColor theme="8" tint="-0.499984740745262"/>
        </patternFill>
      </fill>
    </dxf>
    <dxf>
      <fill>
        <patternFill>
          <bgColor rgb="FFFF7C80"/>
        </patternFill>
      </fill>
    </dxf>
    <dxf>
      <fill>
        <patternFill>
          <bgColor rgb="FFB889DB"/>
        </patternFill>
      </fill>
    </dxf>
    <dxf>
      <fill>
        <patternFill>
          <bgColor theme="9" tint="0.39994506668294322"/>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9" tint="-0.499984740745262"/>
        </patternFill>
      </fill>
    </dxf>
    <dxf>
      <fill>
        <patternFill>
          <bgColor theme="8" tint="-0.499984740745262"/>
        </patternFill>
      </fill>
    </dxf>
    <dxf>
      <fill>
        <patternFill>
          <bgColor rgb="FF66FFFF"/>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39994506668294322"/>
        </patternFill>
      </fill>
    </dxf>
    <dxf>
      <fill>
        <patternFill>
          <bgColor theme="8" tint="-0.49998474074526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rgb="FF66FFFF"/>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rgb="FF66FFFF"/>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8" tint="-0.499984740745262"/>
        </patternFill>
      </fill>
    </dxf>
    <dxf>
      <fill>
        <patternFill>
          <bgColor theme="8" tint="-0.499984740745262"/>
        </patternFill>
      </fill>
    </dxf>
    <dxf>
      <fill>
        <patternFill>
          <bgColor rgb="FF66FFFF"/>
        </patternFill>
      </fill>
    </dxf>
    <dxf>
      <fill>
        <patternFill>
          <bgColor rgb="FFFF7C80"/>
        </patternFill>
      </fill>
    </dxf>
    <dxf>
      <fill>
        <patternFill>
          <bgColor theme="8" tint="0.79998168889431442"/>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9" tint="0.39994506668294322"/>
        </patternFill>
      </fill>
    </dxf>
    <dxf>
      <fill>
        <patternFill>
          <bgColor theme="7" tint="0.39994506668294322"/>
        </patternFill>
      </fill>
    </dxf>
    <dxf>
      <fill>
        <patternFill>
          <bgColor rgb="FF66FFFF"/>
        </patternFill>
      </fill>
    </dxf>
    <dxf>
      <fill>
        <patternFill>
          <bgColor theme="9" tint="-0.499984740745262"/>
        </patternFill>
      </fill>
    </dxf>
    <dxf>
      <fill>
        <patternFill>
          <bgColor theme="8" tint="-0.499984740745262"/>
        </patternFill>
      </fill>
    </dxf>
    <dxf>
      <fill>
        <patternFill>
          <bgColor rgb="FFFF7C80"/>
        </patternFill>
      </fill>
    </dxf>
    <dxf>
      <fill>
        <patternFill>
          <bgColor theme="8" tint="0.79998168889431442"/>
        </patternFill>
      </fill>
    </dxf>
    <dxf>
      <fill>
        <patternFill>
          <bgColor rgb="FF66FFFF"/>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rgb="FFFF7C80"/>
        </patternFill>
      </fill>
    </dxf>
    <dxf>
      <fill>
        <patternFill>
          <bgColor theme="2" tint="-9.9948118533890809E-2"/>
        </patternFill>
      </fill>
    </dxf>
    <dxf>
      <fill>
        <patternFill>
          <bgColor theme="8" tint="-0.499984740745262"/>
        </patternFill>
      </fill>
    </dxf>
    <dxf>
      <fill>
        <patternFill>
          <bgColor rgb="FFFF7C80"/>
        </patternFill>
      </fill>
    </dxf>
    <dxf>
      <fill>
        <patternFill>
          <bgColor rgb="FFB889DB"/>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8" tint="-0.499984740745262"/>
        </patternFill>
      </fill>
    </dxf>
    <dxf>
      <fill>
        <patternFill>
          <bgColor theme="9" tint="0.3999450666829432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theme="9" tint="0.39994506668294322"/>
        </patternFill>
      </fill>
    </dxf>
    <dxf>
      <fill>
        <patternFill>
          <bgColor theme="8" tint="0.7999816888943144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rgb="FF66FFFF"/>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499984740745262"/>
        </patternFill>
      </fill>
    </dxf>
    <dxf>
      <fill>
        <patternFill>
          <bgColor theme="8" tint="0.59996337778862885"/>
        </patternFill>
      </fill>
    </dxf>
    <dxf>
      <fill>
        <patternFill>
          <bgColor theme="8" tint="-0.24994659260841701"/>
        </patternFill>
      </fill>
    </dxf>
    <dxf>
      <fill>
        <patternFill>
          <bgColor rgb="FFFF7C80"/>
        </patternFill>
      </fill>
    </dxf>
    <dxf>
      <fill>
        <patternFill>
          <bgColor theme="2" tint="-9.9948118533890809E-2"/>
        </patternFill>
      </fill>
    </dxf>
    <dxf>
      <fill>
        <patternFill>
          <bgColor theme="8" tint="-0.499984740745262"/>
        </patternFill>
      </fill>
    </dxf>
    <dxf>
      <fill>
        <patternFill>
          <bgColor rgb="FFFF7C80"/>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rgb="FF66FFFF"/>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rgb="FF66FFFF"/>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B889DB"/>
        </patternFill>
      </fill>
    </dxf>
    <dxf>
      <fill>
        <patternFill>
          <bgColor rgb="FFFF7C80"/>
        </patternFill>
      </fill>
    </dxf>
    <dxf>
      <fill>
        <patternFill>
          <bgColor theme="9" tint="0.39994506668294322"/>
        </patternFill>
      </fill>
    </dxf>
    <dxf>
      <fill>
        <patternFill>
          <bgColor theme="7" tint="0.39994506668294322"/>
        </patternFill>
      </fill>
    </dxf>
    <dxf>
      <fill>
        <patternFill>
          <bgColor rgb="FFB889DB"/>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4" tint="-0.49998474074526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7" tint="0.39994506668294322"/>
        </patternFill>
      </fill>
    </dxf>
    <dxf>
      <fill>
        <patternFill>
          <bgColor theme="9" tint="-0.499984740745262"/>
        </patternFill>
      </fill>
    </dxf>
    <dxf>
      <fill>
        <patternFill>
          <bgColor theme="9" tint="-0.499984740745262"/>
        </patternFill>
      </fill>
    </dxf>
    <dxf>
      <fill>
        <patternFill>
          <bgColor theme="8" tint="-0.499984740745262"/>
        </patternFill>
      </fill>
    </dxf>
    <dxf>
      <fill>
        <patternFill>
          <bgColor rgb="FF66FFFF"/>
        </patternFill>
      </fill>
    </dxf>
    <dxf>
      <fill>
        <patternFill>
          <bgColor rgb="FFFF7C80"/>
        </patternFill>
      </fill>
    </dxf>
    <dxf>
      <fill>
        <patternFill>
          <bgColor theme="8" tint="-0.499984740745262"/>
        </patternFill>
      </fill>
    </dxf>
    <dxf>
      <fill>
        <patternFill>
          <bgColor theme="8" tint="0.59996337778862885"/>
        </patternFill>
      </fill>
    </dxf>
    <dxf>
      <fill>
        <patternFill>
          <bgColor theme="8" tint="0.59996337778862885"/>
        </patternFill>
      </fill>
    </dxf>
    <dxf>
      <fill>
        <patternFill>
          <bgColor theme="8" tint="-0.499984740745262"/>
        </patternFill>
      </fill>
    </dxf>
    <dxf>
      <fill>
        <patternFill>
          <bgColor rgb="FF66FFFF"/>
        </patternFill>
      </fill>
    </dxf>
    <dxf>
      <fill>
        <patternFill>
          <bgColor theme="8" tint="0.79998168889431442"/>
        </patternFill>
      </fill>
    </dxf>
    <dxf>
      <fill>
        <patternFill>
          <bgColor theme="8" tint="-0.24994659260841701"/>
        </patternFill>
      </fill>
    </dxf>
    <dxf>
      <fill>
        <patternFill>
          <bgColor rgb="FFFF7C80"/>
        </patternFill>
      </fill>
    </dxf>
    <dxf>
      <fill>
        <patternFill>
          <bgColor theme="8" tint="0.79998168889431442"/>
        </patternFill>
      </fill>
    </dxf>
    <dxf>
      <fill>
        <patternFill>
          <bgColor theme="8" tint="0.79998168889431442"/>
        </patternFill>
      </fill>
    </dxf>
    <dxf>
      <fill>
        <patternFill>
          <bgColor theme="8" tint="0.59996337778862885"/>
        </patternFill>
      </fill>
    </dxf>
    <dxf>
      <fill>
        <patternFill>
          <bgColor theme="4" tint="-0.499984740745262"/>
        </patternFill>
      </fill>
    </dxf>
    <dxf>
      <fill>
        <patternFill>
          <bgColor theme="7" tint="0.39994506668294322"/>
        </patternFill>
      </fill>
    </dxf>
    <dxf>
      <fill>
        <patternFill>
          <bgColor theme="9" tint="0.39994506668294322"/>
        </patternFill>
      </fill>
    </dxf>
    <dxf>
      <fill>
        <patternFill>
          <bgColor theme="8" tint="-0.499984740745262"/>
        </patternFill>
      </fill>
    </dxf>
    <dxf>
      <fill>
        <patternFill>
          <bgColor rgb="FFFF7C80"/>
        </patternFill>
      </fill>
    </dxf>
    <dxf>
      <fill>
        <patternFill>
          <bgColor theme="8" tint="0.59996337778862885"/>
        </patternFill>
      </fill>
    </dxf>
    <dxf>
      <fill>
        <patternFill>
          <bgColor theme="8" tint="-0.24994659260841701"/>
        </patternFill>
      </fill>
    </dxf>
    <dxf>
      <fill>
        <patternFill>
          <bgColor theme="8" tint="0.79998168889431442"/>
        </patternFill>
      </fill>
    </dxf>
    <dxf>
      <fill>
        <patternFill>
          <bgColor theme="9" tint="-0.499984740745262"/>
        </patternFill>
      </fill>
    </dxf>
    <dxf>
      <fill>
        <patternFill>
          <bgColor theme="4" tint="-0.499984740745262"/>
        </patternFill>
      </fill>
    </dxf>
    <dxf>
      <fill>
        <patternFill>
          <bgColor theme="8" tint="0.79998168889431442"/>
        </patternFill>
      </fill>
    </dxf>
    <dxf>
      <fill>
        <patternFill>
          <bgColor theme="8" tint="-0.24994659260841701"/>
        </patternFill>
      </fill>
    </dxf>
    <dxf>
      <fill>
        <patternFill>
          <bgColor theme="9" tint="0.39994506668294322"/>
        </patternFill>
      </fill>
    </dxf>
    <dxf>
      <fill>
        <patternFill>
          <bgColor theme="2" tint="-9.9948118533890809E-2"/>
        </patternFill>
      </fill>
    </dxf>
    <dxf>
      <fill>
        <patternFill>
          <bgColor rgb="FFFF7C80"/>
        </patternFill>
      </fill>
    </dxf>
    <dxf>
      <fill>
        <patternFill>
          <bgColor theme="8" tint="0.59996337778862885"/>
        </patternFill>
      </fill>
    </dxf>
    <dxf>
      <fill>
        <patternFill>
          <bgColor rgb="FF66FFFF"/>
        </patternFill>
      </fill>
    </dxf>
    <dxf>
      <fill>
        <patternFill>
          <bgColor rgb="FFFF7C80"/>
        </patternFill>
      </fill>
    </dxf>
    <dxf>
      <fill>
        <patternFill>
          <bgColor theme="7" tint="0.39994506668294322"/>
        </patternFill>
      </fill>
    </dxf>
    <dxf>
      <fill>
        <patternFill>
          <bgColor rgb="FFFF7C80"/>
        </patternFill>
      </fill>
    </dxf>
    <dxf>
      <fill>
        <patternFill>
          <bgColor theme="8" tint="-0.499984740745262"/>
        </patternFill>
      </fill>
    </dxf>
    <dxf>
      <fill>
        <patternFill>
          <bgColor theme="8" tint="-0.499984740745262"/>
        </patternFill>
      </fill>
    </dxf>
    <dxf>
      <fill>
        <patternFill>
          <bgColor theme="8" tint="-0.24994659260841701"/>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8" tint="0.79998168889431442"/>
        </patternFill>
      </fill>
    </dxf>
    <dxf>
      <fill>
        <patternFill>
          <bgColor rgb="FFFF7C80"/>
        </patternFill>
      </fill>
    </dxf>
    <dxf>
      <fill>
        <patternFill>
          <bgColor theme="9" tint="0.39994506668294322"/>
        </patternFill>
      </fill>
    </dxf>
    <dxf>
      <fill>
        <patternFill>
          <bgColor theme="8" tint="0.59996337778862885"/>
        </patternFill>
      </fill>
    </dxf>
    <dxf>
      <fill>
        <patternFill>
          <bgColor theme="9" tint="0.3999450666829432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7" tint="0.39994506668294322"/>
        </patternFill>
      </fill>
    </dxf>
    <dxf>
      <fill>
        <patternFill>
          <bgColor rgb="FF66FFFF"/>
        </patternFill>
      </fill>
    </dxf>
    <dxf>
      <fill>
        <patternFill>
          <bgColor theme="8" tint="-0.499984740745262"/>
        </patternFill>
      </fill>
    </dxf>
    <dxf>
      <fill>
        <patternFill>
          <bgColor theme="4" tint="-0.499984740745262"/>
        </patternFill>
      </fill>
    </dxf>
    <dxf>
      <fill>
        <patternFill>
          <bgColor theme="9" tint="-0.499984740745262"/>
        </patternFill>
      </fill>
    </dxf>
    <dxf>
      <fill>
        <patternFill>
          <bgColor rgb="FFFF7C80"/>
        </patternFill>
      </fill>
    </dxf>
    <dxf>
      <fill>
        <patternFill>
          <bgColor theme="8" tint="-0.49998474074526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rgb="FF66FFFF"/>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8" tint="-0.499984740745262"/>
        </patternFill>
      </fill>
    </dxf>
    <dxf>
      <fill>
        <patternFill>
          <bgColor theme="4" tint="-0.499984740745262"/>
        </patternFill>
      </fill>
    </dxf>
    <dxf>
      <fill>
        <patternFill>
          <bgColor theme="9" tint="0.39994506668294322"/>
        </patternFill>
      </fill>
    </dxf>
    <dxf>
      <fill>
        <patternFill>
          <bgColor theme="7" tint="0.39994506668294322"/>
        </patternFill>
      </fill>
    </dxf>
    <dxf>
      <fill>
        <patternFill>
          <bgColor rgb="FFFF7C80"/>
        </patternFill>
      </fill>
    </dxf>
    <dxf>
      <fill>
        <patternFill>
          <bgColor theme="8" tint="0.59996337778862885"/>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rgb="FF66FFFF"/>
        </patternFill>
      </fill>
    </dxf>
    <dxf>
      <fill>
        <patternFill>
          <bgColor theme="8" tint="0.79998168889431442"/>
        </patternFill>
      </fill>
    </dxf>
    <dxf>
      <fill>
        <patternFill>
          <bgColor theme="8" tint="-0.24994659260841701"/>
        </patternFill>
      </fill>
    </dxf>
    <dxf>
      <fill>
        <patternFill>
          <bgColor theme="4" tint="-0.499984740745262"/>
        </patternFill>
      </fill>
    </dxf>
    <dxf>
      <fill>
        <patternFill>
          <bgColor theme="8" tint="0.79998168889431442"/>
        </patternFill>
      </fill>
    </dxf>
    <dxf>
      <fill>
        <patternFill>
          <bgColor theme="8" tint="0.59996337778862885"/>
        </patternFill>
      </fill>
    </dxf>
    <dxf>
      <fill>
        <patternFill>
          <bgColor rgb="FFFF7C80"/>
        </patternFill>
      </fill>
    </dxf>
    <dxf>
      <fill>
        <patternFill>
          <bgColor rgb="FF66FFFF"/>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49998474074526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8" tint="-0.499984740745262"/>
        </patternFill>
      </fill>
    </dxf>
    <dxf>
      <fill>
        <patternFill>
          <bgColor theme="9" tint="0.39994506668294322"/>
        </patternFill>
      </fill>
    </dxf>
    <dxf>
      <fill>
        <patternFill>
          <bgColor rgb="FF66FFFF"/>
        </patternFill>
      </fill>
    </dxf>
    <dxf>
      <fill>
        <patternFill>
          <bgColor theme="8" tint="-0.499984740745262"/>
        </patternFill>
      </fill>
    </dxf>
    <dxf>
      <fill>
        <patternFill>
          <bgColor theme="7" tint="0.39994506668294322"/>
        </patternFill>
      </fill>
    </dxf>
    <dxf>
      <fill>
        <patternFill>
          <bgColor theme="4" tint="-0.499984740745262"/>
        </patternFill>
      </fill>
    </dxf>
    <dxf>
      <fill>
        <patternFill>
          <bgColor rgb="FFFF7C80"/>
        </patternFill>
      </fill>
    </dxf>
    <dxf>
      <fill>
        <patternFill>
          <bgColor theme="8" tint="-0.24994659260841701"/>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8" tint="0.79998168889431442"/>
        </patternFill>
      </fill>
    </dxf>
    <dxf>
      <fill>
        <patternFill>
          <bgColor theme="7" tint="0.39994506668294322"/>
        </patternFill>
      </fill>
    </dxf>
    <dxf>
      <fill>
        <patternFill>
          <bgColor theme="9" tint="-0.499984740745262"/>
        </patternFill>
      </fill>
    </dxf>
    <dxf>
      <fill>
        <patternFill>
          <bgColor theme="8" tint="0.79998168889431442"/>
        </patternFill>
      </fill>
    </dxf>
    <dxf>
      <fill>
        <patternFill>
          <bgColor rgb="FFFF7C80"/>
        </patternFill>
      </fill>
    </dxf>
    <dxf>
      <fill>
        <patternFill>
          <bgColor theme="8" tint="0.79998168889431442"/>
        </patternFill>
      </fill>
    </dxf>
    <dxf>
      <fill>
        <patternFill>
          <bgColor theme="7" tint="0.3999450666829432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rgb="FF66FFFF"/>
        </patternFill>
      </fill>
    </dxf>
    <dxf>
      <fill>
        <patternFill>
          <bgColor rgb="FFFF7C80"/>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9" tint="-0.499984740745262"/>
        </patternFill>
      </fill>
    </dxf>
    <dxf>
      <fill>
        <patternFill>
          <bgColor theme="8" tint="-0.24994659260841701"/>
        </patternFill>
      </fill>
    </dxf>
    <dxf>
      <fill>
        <patternFill>
          <bgColor theme="8" tint="0.59996337778862885"/>
        </patternFill>
      </fill>
    </dxf>
    <dxf>
      <fill>
        <patternFill>
          <bgColor rgb="FF66FFFF"/>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rgb="FFFF7C80"/>
        </patternFill>
      </fill>
    </dxf>
    <dxf>
      <fill>
        <patternFill>
          <bgColor rgb="FFB889DB"/>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7999816888943144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4" tint="-0.499984740745262"/>
        </patternFill>
      </fill>
    </dxf>
    <dxf>
      <fill>
        <patternFill>
          <bgColor theme="7" tint="0.39994506668294322"/>
        </patternFill>
      </fill>
    </dxf>
    <dxf>
      <fill>
        <patternFill>
          <bgColor theme="8" tint="-0.24994659260841701"/>
        </patternFill>
      </fill>
    </dxf>
    <dxf>
      <fill>
        <patternFill>
          <bgColor theme="8" tint="0.59996337778862885"/>
        </patternFill>
      </fill>
    </dxf>
    <dxf>
      <fill>
        <patternFill>
          <bgColor theme="9" tint="-0.499984740745262"/>
        </patternFill>
      </fill>
    </dxf>
    <dxf>
      <fill>
        <patternFill>
          <bgColor theme="8" tint="0.79998168889431442"/>
        </patternFill>
      </fill>
    </dxf>
    <dxf>
      <fill>
        <patternFill>
          <bgColor rgb="FF66FFFF"/>
        </patternFill>
      </fill>
    </dxf>
    <dxf>
      <fill>
        <patternFill>
          <bgColor theme="8" tint="-0.499984740745262"/>
        </patternFill>
      </fill>
    </dxf>
    <dxf>
      <fill>
        <patternFill>
          <bgColor theme="4" tint="-0.499984740745262"/>
        </patternFill>
      </fill>
    </dxf>
    <dxf>
      <fill>
        <patternFill>
          <bgColor rgb="FFB889DB"/>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8" tint="-0.499984740745262"/>
        </patternFill>
      </fill>
    </dxf>
    <dxf>
      <fill>
        <patternFill>
          <bgColor theme="9" tint="0.39994506668294322"/>
        </patternFill>
      </fill>
    </dxf>
    <dxf>
      <fill>
        <patternFill>
          <bgColor rgb="FF66FFFF"/>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9" tint="0.39994506668294322"/>
        </patternFill>
      </fill>
    </dxf>
    <dxf>
      <fill>
        <patternFill>
          <bgColor theme="8" tint="-0.499984740745262"/>
        </patternFill>
      </fill>
    </dxf>
    <dxf>
      <fill>
        <patternFill>
          <bgColor theme="4" tint="-0.499984740745262"/>
        </patternFill>
      </fill>
    </dxf>
    <dxf>
      <fill>
        <patternFill>
          <bgColor theme="9" tint="0.39994506668294322"/>
        </patternFill>
      </fill>
    </dxf>
    <dxf>
      <fill>
        <patternFill>
          <bgColor theme="8" tint="-0.24994659260841701"/>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7" tint="0.3999450666829432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4" tint="-0.499984740745262"/>
        </patternFill>
      </fill>
    </dxf>
    <dxf>
      <fill>
        <patternFill>
          <bgColor rgb="FF66FFFF"/>
        </patternFill>
      </fill>
    </dxf>
    <dxf>
      <fill>
        <patternFill>
          <bgColor theme="8" tint="-0.49998474074526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59996337778862885"/>
        </patternFill>
      </fill>
    </dxf>
    <dxf>
      <fill>
        <patternFill>
          <bgColor theme="8" tint="-0.499984740745262"/>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7" tint="0.39994506668294322"/>
        </patternFill>
      </fill>
    </dxf>
    <dxf>
      <fill>
        <patternFill>
          <bgColor theme="8" tint="0.79998168889431442"/>
        </patternFill>
      </fill>
    </dxf>
    <dxf>
      <fill>
        <patternFill>
          <bgColor theme="8" tint="-0.499984740745262"/>
        </patternFill>
      </fill>
    </dxf>
    <dxf>
      <fill>
        <patternFill>
          <bgColor theme="8" tint="-0.24994659260841701"/>
        </patternFill>
      </fill>
    </dxf>
    <dxf>
      <fill>
        <patternFill>
          <bgColor theme="4" tint="-0.499984740745262"/>
        </patternFill>
      </fill>
    </dxf>
    <dxf>
      <fill>
        <patternFill>
          <bgColor rgb="FF66FFFF"/>
        </patternFill>
      </fill>
    </dxf>
    <dxf>
      <fill>
        <patternFill>
          <bgColor theme="8" tint="0.59996337778862885"/>
        </patternFill>
      </fill>
    </dxf>
    <dxf>
      <fill>
        <patternFill>
          <bgColor rgb="FFFF7C80"/>
        </patternFill>
      </fill>
    </dxf>
    <dxf>
      <fill>
        <patternFill>
          <bgColor theme="8" tint="-0.499984740745262"/>
        </patternFill>
      </fill>
    </dxf>
    <dxf>
      <fill>
        <patternFill>
          <bgColor theme="7" tint="0.39994506668294322"/>
        </patternFill>
      </fill>
    </dxf>
    <dxf>
      <fill>
        <patternFill>
          <bgColor theme="8" tint="0.79998168889431442"/>
        </patternFill>
      </fill>
    </dxf>
    <dxf>
      <fill>
        <patternFill>
          <bgColor rgb="FFFF7C80"/>
        </patternFill>
      </fill>
    </dxf>
    <dxf>
      <fill>
        <patternFill>
          <bgColor theme="8" tint="-0.24994659260841701"/>
        </patternFill>
      </fill>
    </dxf>
    <dxf>
      <fill>
        <patternFill>
          <bgColor theme="8" tint="0.59996337778862885"/>
        </patternFill>
      </fill>
    </dxf>
    <dxf>
      <fill>
        <patternFill>
          <bgColor theme="9" tint="0.39994506668294322"/>
        </patternFill>
      </fill>
    </dxf>
    <dxf>
      <fill>
        <patternFill>
          <bgColor rgb="FF66FFFF"/>
        </patternFill>
      </fill>
    </dxf>
    <dxf>
      <fill>
        <patternFill>
          <bgColor theme="8" tint="-0.49998474074526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rgb="FFFF7C80"/>
        </patternFill>
      </fill>
    </dxf>
    <dxf>
      <fill>
        <patternFill>
          <bgColor theme="8" tint="-0.499984740745262"/>
        </patternFill>
      </fill>
    </dxf>
    <dxf>
      <fill>
        <patternFill>
          <bgColor rgb="FFB889DB"/>
        </patternFill>
      </fill>
    </dxf>
    <dxf>
      <fill>
        <patternFill>
          <bgColor theme="7" tint="0.39994506668294322"/>
        </patternFill>
      </fill>
    </dxf>
    <dxf>
      <fill>
        <patternFill>
          <bgColor theme="9" tint="0.39994506668294322"/>
        </patternFill>
      </fill>
    </dxf>
    <dxf>
      <fill>
        <patternFill>
          <bgColor rgb="FF66FFFF"/>
        </patternFill>
      </fill>
    </dxf>
    <dxf>
      <fill>
        <patternFill>
          <bgColor theme="8" tint="-0.499984740745262"/>
        </patternFill>
      </fill>
    </dxf>
    <dxf>
      <fill>
        <patternFill>
          <bgColor theme="9" tint="0.39994506668294322"/>
        </patternFill>
      </fill>
    </dxf>
    <dxf>
      <fill>
        <patternFill>
          <bgColor rgb="FF66FFFF"/>
        </patternFill>
      </fill>
    </dxf>
    <dxf>
      <fill>
        <patternFill>
          <bgColor rgb="FFB889DB"/>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9" tint="0.3999450666829432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rgb="FF66FFFF"/>
        </patternFill>
      </fill>
    </dxf>
    <dxf>
      <fill>
        <patternFill>
          <bgColor theme="9" tint="0.3999450666829432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8" tint="0.79998168889431442"/>
        </patternFill>
      </fill>
    </dxf>
    <dxf>
      <fill>
        <patternFill>
          <bgColor rgb="FFB889DB"/>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9" tint="0.39994506668294322"/>
        </patternFill>
      </fill>
    </dxf>
    <dxf>
      <fill>
        <patternFill>
          <bgColor theme="8" tint="-0.49998474074526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rgb="FF66FFFF"/>
        </patternFill>
      </fill>
    </dxf>
    <dxf>
      <fill>
        <patternFill>
          <bgColor theme="7" tint="0.3999450666829432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rgb="FF66FFFF"/>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39994506668294322"/>
        </patternFill>
      </fill>
    </dxf>
    <dxf>
      <fill>
        <patternFill>
          <bgColor theme="8" tint="-0.499984740745262"/>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9" tint="-0.499984740745262"/>
        </patternFill>
      </fill>
    </dxf>
    <dxf>
      <fill>
        <patternFill>
          <bgColor theme="8" tint="0.79998168889431442"/>
        </patternFill>
      </fill>
    </dxf>
    <dxf>
      <fill>
        <patternFill>
          <bgColor theme="9" tint="0.39994506668294322"/>
        </patternFill>
      </fill>
    </dxf>
    <dxf>
      <fill>
        <patternFill>
          <bgColor theme="8" tint="-0.24994659260841701"/>
        </patternFill>
      </fill>
    </dxf>
    <dxf>
      <fill>
        <patternFill>
          <bgColor theme="8" tint="0.59996337778862885"/>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7" tint="0.39994506668294322"/>
        </patternFill>
      </fill>
    </dxf>
    <dxf>
      <fill>
        <patternFill>
          <bgColor theme="8" tint="-0.24994659260841701"/>
        </patternFill>
      </fill>
    </dxf>
    <dxf>
      <fill>
        <patternFill>
          <bgColor theme="9" tint="-0.499984740745262"/>
        </patternFill>
      </fill>
    </dxf>
    <dxf>
      <fill>
        <patternFill>
          <bgColor theme="8" tint="-0.499984740745262"/>
        </patternFill>
      </fill>
    </dxf>
    <dxf>
      <fill>
        <patternFill>
          <bgColor rgb="FF66FFFF"/>
        </patternFill>
      </fill>
    </dxf>
    <dxf>
      <fill>
        <patternFill>
          <bgColor theme="7" tint="0.39994506668294322"/>
        </patternFill>
      </fill>
    </dxf>
    <dxf>
      <fill>
        <patternFill>
          <bgColor theme="4" tint="-0.499984740745262"/>
        </patternFill>
      </fill>
    </dxf>
    <dxf>
      <fill>
        <patternFill>
          <bgColor theme="4" tint="-0.499984740745262"/>
        </patternFill>
      </fill>
    </dxf>
    <dxf>
      <fill>
        <patternFill>
          <bgColor theme="7" tint="0.39994506668294322"/>
        </patternFill>
      </fill>
    </dxf>
    <dxf>
      <fill>
        <patternFill>
          <bgColor theme="9" tint="0.39994506668294322"/>
        </patternFill>
      </fill>
    </dxf>
    <dxf>
      <fill>
        <patternFill>
          <bgColor theme="8" tint="-0.499984740745262"/>
        </patternFill>
      </fill>
    </dxf>
    <dxf>
      <fill>
        <patternFill>
          <bgColor rgb="FFFF7C80"/>
        </patternFill>
      </fill>
    </dxf>
    <dxf>
      <fill>
        <patternFill>
          <bgColor theme="8" tint="-0.499984740745262"/>
        </patternFill>
      </fill>
    </dxf>
    <dxf>
      <fill>
        <patternFill>
          <bgColor rgb="FF66FFFF"/>
        </patternFill>
      </fill>
    </dxf>
    <dxf>
      <fill>
        <patternFill>
          <bgColor theme="4" tint="-0.499984740745262"/>
        </patternFill>
      </fill>
    </dxf>
    <dxf>
      <fill>
        <patternFill>
          <bgColor theme="8" tint="0.79998168889431442"/>
        </patternFill>
      </fill>
    </dxf>
    <dxf>
      <fill>
        <patternFill>
          <bgColor theme="9" tint="-0.499984740745262"/>
        </patternFill>
      </fill>
    </dxf>
    <dxf>
      <fill>
        <patternFill>
          <bgColor theme="7" tint="0.39994506668294322"/>
        </patternFill>
      </fill>
    </dxf>
    <dxf>
      <fill>
        <patternFill>
          <bgColor theme="8" tint="0.59996337778862885"/>
        </patternFill>
      </fill>
    </dxf>
    <dxf>
      <fill>
        <patternFill>
          <bgColor theme="8" tint="0.79998168889431442"/>
        </patternFill>
      </fill>
    </dxf>
    <dxf>
      <fill>
        <patternFill>
          <bgColor rgb="FFFF7C80"/>
        </patternFill>
      </fill>
    </dxf>
    <dxf>
      <fill>
        <patternFill>
          <bgColor rgb="FF66FFFF"/>
        </patternFill>
      </fill>
    </dxf>
    <dxf>
      <fill>
        <patternFill>
          <bgColor theme="8" tint="-0.499984740745262"/>
        </patternFill>
      </fill>
    </dxf>
    <dxf>
      <fill>
        <patternFill>
          <bgColor theme="8" tint="0.59996337778862885"/>
        </patternFill>
      </fill>
    </dxf>
    <dxf>
      <fill>
        <patternFill>
          <bgColor theme="8" tint="-0.24994659260841701"/>
        </patternFill>
      </fill>
    </dxf>
    <dxf>
      <fill>
        <patternFill>
          <bgColor rgb="FFFF7C80"/>
        </patternFill>
      </fill>
    </dxf>
    <dxf>
      <fill>
        <patternFill>
          <bgColor theme="8" tint="0.59996337778862885"/>
        </patternFill>
      </fill>
    </dxf>
    <dxf>
      <fill>
        <patternFill>
          <bgColor theme="8" tint="0.79998168889431442"/>
        </patternFill>
      </fill>
    </dxf>
    <dxf>
      <fill>
        <patternFill>
          <bgColor rgb="FFFF7C80"/>
        </patternFill>
      </fill>
    </dxf>
    <dxf>
      <fill>
        <patternFill>
          <bgColor rgb="FF66FFFF"/>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rgb="FFFF7C80"/>
        </patternFill>
      </fill>
    </dxf>
    <dxf>
      <fill>
        <patternFill>
          <bgColor theme="9" tint="0.39994506668294322"/>
        </patternFill>
      </fill>
    </dxf>
    <dxf>
      <fill>
        <patternFill>
          <bgColor theme="8" tint="-0.499984740745262"/>
        </patternFill>
      </fill>
    </dxf>
    <dxf>
      <fill>
        <patternFill>
          <bgColor rgb="FFFF7C80"/>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9" tint="-0.499984740745262"/>
        </patternFill>
      </fill>
    </dxf>
    <dxf>
      <fill>
        <patternFill>
          <bgColor theme="7" tint="0.3999450666829432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7" tint="0.39994506668294322"/>
        </patternFill>
      </fill>
    </dxf>
    <dxf>
      <fill>
        <patternFill>
          <bgColor rgb="FFFF7C80"/>
        </patternFill>
      </fill>
    </dxf>
    <dxf>
      <fill>
        <patternFill>
          <bgColor theme="7" tint="0.39994506668294322"/>
        </patternFill>
      </fill>
    </dxf>
    <dxf>
      <fill>
        <patternFill>
          <bgColor rgb="FFB889DB"/>
        </patternFill>
      </fill>
    </dxf>
    <dxf>
      <fill>
        <patternFill>
          <bgColor rgb="FFFF7C80"/>
        </patternFill>
      </fill>
    </dxf>
    <dxf>
      <fill>
        <patternFill>
          <bgColor theme="8" tint="-0.499984740745262"/>
        </patternFill>
      </fill>
    </dxf>
    <dxf>
      <fill>
        <patternFill>
          <bgColor theme="4" tint="-0.499984740745262"/>
        </patternFill>
      </fill>
    </dxf>
    <dxf>
      <fill>
        <patternFill>
          <bgColor theme="8" tint="-0.499984740745262"/>
        </patternFill>
      </fill>
    </dxf>
    <dxf>
      <fill>
        <patternFill>
          <bgColor theme="9" tint="0.39994506668294322"/>
        </patternFill>
      </fill>
    </dxf>
    <dxf>
      <fill>
        <patternFill>
          <bgColor theme="7" tint="0.39994506668294322"/>
        </patternFill>
      </fill>
    </dxf>
    <dxf>
      <fill>
        <patternFill>
          <bgColor rgb="FFFF7C80"/>
        </patternFill>
      </fill>
    </dxf>
    <dxf>
      <fill>
        <patternFill>
          <bgColor theme="7" tint="0.39994506668294322"/>
        </patternFill>
      </fill>
    </dxf>
    <dxf>
      <fill>
        <patternFill>
          <bgColor theme="8" tint="-0.24994659260841701"/>
        </patternFill>
      </fill>
    </dxf>
    <dxf>
      <fill>
        <patternFill>
          <bgColor theme="2" tint="-9.9948118533890809E-2"/>
        </patternFill>
      </fill>
    </dxf>
    <dxf>
      <fill>
        <patternFill>
          <bgColor theme="8" tint="-0.499984740745262"/>
        </patternFill>
      </fill>
    </dxf>
    <dxf>
      <fill>
        <patternFill>
          <bgColor rgb="FFFF7C80"/>
        </patternFill>
      </fill>
    </dxf>
    <dxf>
      <fill>
        <patternFill>
          <bgColor theme="8" tint="0.59996337778862885"/>
        </patternFill>
      </fill>
    </dxf>
    <dxf>
      <fill>
        <patternFill>
          <bgColor rgb="FFB889DB"/>
        </patternFill>
      </fill>
    </dxf>
    <dxf>
      <fill>
        <patternFill>
          <bgColor theme="8" tint="0.79998168889431442"/>
        </patternFill>
      </fill>
    </dxf>
    <dxf>
      <fill>
        <patternFill>
          <bgColor theme="7" tint="0.39994506668294322"/>
        </patternFill>
      </fill>
    </dxf>
    <dxf>
      <fill>
        <patternFill>
          <bgColor rgb="FFFF7C80"/>
        </patternFill>
      </fill>
    </dxf>
    <dxf>
      <fill>
        <patternFill>
          <bgColor theme="4" tint="-0.499984740745262"/>
        </patternFill>
      </fill>
    </dxf>
    <dxf>
      <fill>
        <patternFill>
          <bgColor theme="9" tint="0.39994506668294322"/>
        </patternFill>
      </fill>
    </dxf>
    <dxf>
      <fill>
        <patternFill>
          <bgColor theme="8" tint="-0.499984740745262"/>
        </patternFill>
      </fill>
    </dxf>
    <dxf>
      <fill>
        <patternFill>
          <bgColor theme="8" tint="0.79998168889431442"/>
        </patternFill>
      </fill>
    </dxf>
    <dxf>
      <fill>
        <patternFill>
          <bgColor rgb="FFB889DB"/>
        </patternFill>
      </fill>
    </dxf>
    <dxf>
      <fill>
        <patternFill>
          <bgColor theme="8" tint="0.59996337778862885"/>
        </patternFill>
      </fill>
    </dxf>
    <dxf>
      <fill>
        <patternFill>
          <bgColor theme="8" tint="-0.24994659260841701"/>
        </patternFill>
      </fill>
    </dxf>
    <dxf>
      <fill>
        <patternFill>
          <bgColor rgb="FF66FFFF"/>
        </patternFill>
      </fill>
    </dxf>
    <dxf>
      <fill>
        <patternFill>
          <bgColor theme="7" tint="0.39994506668294322"/>
        </patternFill>
      </fill>
    </dxf>
    <dxf>
      <fill>
        <patternFill>
          <bgColor rgb="FFFF7C80"/>
        </patternFill>
      </fill>
    </dxf>
    <dxf>
      <fill>
        <patternFill>
          <bgColor theme="9" tint="0.39994506668294322"/>
        </patternFill>
      </fill>
    </dxf>
    <dxf>
      <fill>
        <patternFill>
          <bgColor rgb="FF66FFFF"/>
        </patternFill>
      </fill>
    </dxf>
    <dxf>
      <fill>
        <patternFill>
          <bgColor theme="8" tint="-0.499984740745262"/>
        </patternFill>
      </fill>
    </dxf>
    <dxf>
      <fill>
        <patternFill>
          <bgColor rgb="FFFF7C80"/>
        </patternFill>
      </fill>
    </dxf>
    <dxf>
      <fill>
        <patternFill>
          <bgColor theme="8" tint="-0.24994659260841701"/>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59996337778862885"/>
        </patternFill>
      </fill>
    </dxf>
    <dxf>
      <fill>
        <patternFill>
          <bgColor theme="8" tint="0.79998168889431442"/>
        </patternFill>
      </fill>
    </dxf>
    <dxf>
      <fill>
        <patternFill>
          <bgColor theme="8" tint="0.59996337778862885"/>
        </patternFill>
      </fill>
    </dxf>
    <dxf>
      <fill>
        <patternFill>
          <bgColor theme="8" tint="0.79998168889431442"/>
        </patternFill>
      </fill>
    </dxf>
    <dxf>
      <fill>
        <patternFill>
          <bgColor theme="4" tint="-0.499984740745262"/>
        </patternFill>
      </fill>
    </dxf>
    <dxf>
      <fill>
        <patternFill>
          <bgColor theme="8" tint="-0.499984740745262"/>
        </patternFill>
      </fill>
    </dxf>
    <dxf>
      <fill>
        <patternFill>
          <bgColor rgb="FF66FFFF"/>
        </patternFill>
      </fill>
    </dxf>
    <dxf>
      <fill>
        <patternFill>
          <bgColor theme="9" tint="-0.499984740745262"/>
        </patternFill>
      </fill>
    </dxf>
    <dxf>
      <fill>
        <patternFill>
          <bgColor theme="8" tint="-0.24994659260841701"/>
        </patternFill>
      </fill>
    </dxf>
    <dxf>
      <fill>
        <patternFill>
          <bgColor rgb="FFB889DB"/>
        </patternFill>
      </fill>
    </dxf>
    <dxf>
      <fill>
        <patternFill>
          <bgColor theme="7" tint="0.39994506668294322"/>
        </patternFill>
      </fill>
    </dxf>
    <dxf>
      <fill>
        <patternFill>
          <bgColor rgb="FF66FFFF"/>
        </patternFill>
      </fill>
    </dxf>
    <dxf>
      <fill>
        <patternFill>
          <bgColor theme="8" tint="-0.499984740745262"/>
        </patternFill>
      </fill>
    </dxf>
    <dxf>
      <fill>
        <patternFill>
          <bgColor rgb="FFFF7C80"/>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9" tint="-0.499984740745262"/>
        </patternFill>
      </fill>
    </dxf>
    <dxf>
      <fill>
        <patternFill>
          <bgColor theme="8" tint="0.79998168889431442"/>
        </patternFill>
      </fill>
    </dxf>
    <dxf>
      <fill>
        <patternFill>
          <bgColor rgb="FF66FFFF"/>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8"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7" tint="0.39994506668294322"/>
        </patternFill>
      </fill>
    </dxf>
    <dxf>
      <fill>
        <patternFill>
          <bgColor theme="8" tint="0.59996337778862885"/>
        </patternFill>
      </fill>
    </dxf>
    <dxf>
      <fill>
        <patternFill>
          <bgColor theme="9" tint="0.3999450666829432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9" tint="0.39994506668294322"/>
        </patternFill>
      </fill>
    </dxf>
    <dxf>
      <fill>
        <patternFill>
          <bgColor theme="8" tint="-0.499984740745262"/>
        </patternFill>
      </fill>
    </dxf>
    <dxf>
      <fill>
        <patternFill>
          <bgColor theme="8" tint="-0.499984740745262"/>
        </patternFill>
      </fill>
    </dxf>
    <dxf>
      <fill>
        <patternFill>
          <bgColor theme="9" tint="0.39994506668294322"/>
        </patternFill>
      </fill>
    </dxf>
    <dxf>
      <fill>
        <patternFill>
          <bgColor rgb="FF66FFFF"/>
        </patternFill>
      </fill>
    </dxf>
    <dxf>
      <fill>
        <patternFill>
          <bgColor theme="8" tint="-0.499984740745262"/>
        </patternFill>
      </fill>
    </dxf>
    <dxf>
      <fill>
        <patternFill>
          <bgColor theme="8" tint="0.79998168889431442"/>
        </patternFill>
      </fill>
    </dxf>
    <dxf>
      <fill>
        <patternFill>
          <bgColor rgb="FF66FFFF"/>
        </patternFill>
      </fill>
    </dxf>
    <dxf>
      <fill>
        <patternFill>
          <bgColor theme="8" tint="0.59996337778862885"/>
        </patternFill>
      </fill>
    </dxf>
    <dxf>
      <fill>
        <patternFill>
          <bgColor theme="8" tint="-0.499984740745262"/>
        </patternFill>
      </fill>
    </dxf>
    <dxf>
      <fill>
        <patternFill>
          <bgColor rgb="FFB889DB"/>
        </patternFill>
      </fill>
    </dxf>
    <dxf>
      <fill>
        <patternFill>
          <bgColor theme="7" tint="0.39994506668294322"/>
        </patternFill>
      </fill>
    </dxf>
    <dxf>
      <fill>
        <patternFill>
          <bgColor theme="9" tint="0.39994506668294322"/>
        </patternFill>
      </fill>
    </dxf>
    <dxf>
      <fill>
        <patternFill>
          <bgColor rgb="FF66FFFF"/>
        </patternFill>
      </fill>
    </dxf>
    <dxf>
      <fill>
        <patternFill>
          <bgColor rgb="FFFF7C80"/>
        </patternFill>
      </fill>
    </dxf>
    <dxf>
      <fill>
        <patternFill>
          <bgColor theme="8" tint="-0.24994659260841701"/>
        </patternFill>
      </fill>
    </dxf>
    <dxf>
      <fill>
        <patternFill>
          <bgColor rgb="FFFF7C80"/>
        </patternFill>
      </fill>
    </dxf>
    <dxf>
      <fill>
        <patternFill>
          <bgColor rgb="FFFF7C80"/>
        </patternFill>
      </fill>
    </dxf>
    <dxf>
      <fill>
        <patternFill>
          <bgColor theme="8" tint="0.59996337778862885"/>
        </patternFill>
      </fill>
    </dxf>
    <dxf>
      <fill>
        <patternFill>
          <bgColor theme="8" tint="0.79998168889431442"/>
        </patternFill>
      </fill>
    </dxf>
    <dxf>
      <fill>
        <patternFill>
          <bgColor theme="8" tint="-0.24994659260841701"/>
        </patternFill>
      </fill>
    </dxf>
    <dxf>
      <fill>
        <patternFill>
          <bgColor theme="8" tint="-0.499984740745262"/>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49998474074526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8" tint="-0.24994659260841701"/>
        </patternFill>
      </fill>
    </dxf>
    <dxf>
      <fill>
        <patternFill>
          <bgColor theme="8" tint="0.79998168889431442"/>
        </patternFill>
      </fill>
    </dxf>
    <dxf>
      <fill>
        <patternFill>
          <bgColor theme="4" tint="-0.499984740745262"/>
        </patternFill>
      </fill>
    </dxf>
    <dxf>
      <fill>
        <patternFill>
          <bgColor rgb="FFFF7C80"/>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8" tint="0.59996337778862885"/>
        </patternFill>
      </fill>
    </dxf>
    <dxf>
      <fill>
        <patternFill>
          <bgColor theme="9" tint="-0.499984740745262"/>
        </patternFill>
      </fill>
    </dxf>
    <dxf>
      <fill>
        <patternFill>
          <bgColor theme="8" tint="0.79998168889431442"/>
        </patternFill>
      </fill>
    </dxf>
    <dxf>
      <fill>
        <patternFill>
          <bgColor rgb="FFFF7C80"/>
        </patternFill>
      </fill>
    </dxf>
    <dxf>
      <fill>
        <patternFill>
          <bgColor theme="8" tint="0.79998168889431442"/>
        </patternFill>
      </fill>
    </dxf>
    <dxf>
      <fill>
        <patternFill>
          <bgColor rgb="FFFF7C80"/>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8" tint="-0.499984740745262"/>
        </patternFill>
      </fill>
    </dxf>
    <dxf>
      <fill>
        <patternFill>
          <bgColor theme="8" tint="-0.499984740745262"/>
        </patternFill>
      </fill>
    </dxf>
    <dxf>
      <fill>
        <patternFill>
          <bgColor rgb="FF66FFFF"/>
        </patternFill>
      </fill>
    </dxf>
    <dxf>
      <fill>
        <patternFill>
          <bgColor rgb="FF66FFFF"/>
        </patternFill>
      </fill>
    </dxf>
    <dxf>
      <fill>
        <patternFill>
          <bgColor theme="9" tint="-0.49998474074526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9" tint="0.39994506668294322"/>
        </patternFill>
      </fill>
    </dxf>
    <dxf>
      <fill>
        <patternFill>
          <bgColor theme="4" tint="-0.499984740745262"/>
        </patternFill>
      </fill>
    </dxf>
    <dxf>
      <fill>
        <patternFill>
          <bgColor theme="7" tint="0.39994506668294322"/>
        </patternFill>
      </fill>
    </dxf>
    <dxf>
      <fill>
        <patternFill>
          <bgColor rgb="FFFF7C80"/>
        </patternFill>
      </fill>
    </dxf>
    <dxf>
      <fill>
        <patternFill>
          <bgColor theme="7" tint="0.39994506668294322"/>
        </patternFill>
      </fill>
    </dxf>
    <dxf>
      <fill>
        <patternFill>
          <bgColor theme="9" tint="-0.499984740745262"/>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8" tint="0.59996337778862885"/>
        </patternFill>
      </fill>
    </dxf>
    <dxf>
      <fill>
        <patternFill>
          <bgColor theme="8" tint="-0.24994659260841701"/>
        </patternFill>
      </fill>
    </dxf>
    <dxf>
      <fill>
        <patternFill>
          <bgColor rgb="FFFF7C80"/>
        </patternFill>
      </fill>
    </dxf>
    <dxf>
      <fill>
        <patternFill>
          <bgColor theme="8" tint="-0.499984740745262"/>
        </patternFill>
      </fill>
    </dxf>
    <dxf>
      <fill>
        <patternFill>
          <bgColor rgb="FFB889DB"/>
        </patternFill>
      </fill>
    </dxf>
    <dxf>
      <fill>
        <patternFill>
          <bgColor theme="8" tint="0.79998168889431442"/>
        </patternFill>
      </fill>
    </dxf>
    <dxf>
      <fill>
        <patternFill>
          <bgColor theme="7" tint="0.39994506668294322"/>
        </patternFill>
      </fill>
    </dxf>
    <dxf>
      <fill>
        <patternFill>
          <bgColor rgb="FF66FFFF"/>
        </patternFill>
      </fill>
    </dxf>
    <dxf>
      <fill>
        <patternFill>
          <bgColor rgb="FFFF7C80"/>
        </patternFill>
      </fill>
    </dxf>
    <dxf>
      <fill>
        <patternFill>
          <bgColor rgb="FF66FFFF"/>
        </patternFill>
      </fill>
    </dxf>
    <dxf>
      <fill>
        <patternFill>
          <bgColor theme="9" tint="0.39994506668294322"/>
        </patternFill>
      </fill>
    </dxf>
    <dxf>
      <fill>
        <patternFill>
          <bgColor theme="8" tint="-0.499984740745262"/>
        </patternFill>
      </fill>
    </dxf>
    <dxf>
      <fill>
        <patternFill>
          <bgColor theme="9" tint="0.39994506668294322"/>
        </patternFill>
      </fill>
    </dxf>
    <dxf>
      <fill>
        <patternFill>
          <bgColor theme="8" tint="-0.499984740745262"/>
        </patternFill>
      </fill>
    </dxf>
    <dxf>
      <fill>
        <patternFill>
          <bgColor rgb="FF66FFFF"/>
        </patternFill>
      </fill>
    </dxf>
    <dxf>
      <fill>
        <patternFill>
          <bgColor rgb="FFFF7C80"/>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7" tint="0.39994506668294322"/>
        </patternFill>
      </fill>
    </dxf>
    <dxf>
      <fill>
        <patternFill>
          <bgColor rgb="FF66FFFF"/>
        </patternFill>
      </fill>
    </dxf>
    <dxf>
      <fill>
        <patternFill>
          <bgColor theme="7" tint="0.39994506668294322"/>
        </patternFill>
      </fill>
    </dxf>
    <dxf>
      <fill>
        <patternFill>
          <bgColor theme="9" tint="0.39994506668294322"/>
        </patternFill>
      </fill>
    </dxf>
    <dxf>
      <fill>
        <patternFill>
          <bgColor rgb="FF66FFFF"/>
        </patternFill>
      </fill>
    </dxf>
    <dxf>
      <fill>
        <patternFill>
          <bgColor theme="8" tint="-0.499984740745262"/>
        </patternFill>
      </fill>
    </dxf>
    <dxf>
      <fill>
        <patternFill>
          <bgColor theme="9" tint="0.39994506668294322"/>
        </patternFill>
      </fill>
    </dxf>
    <dxf>
      <fill>
        <patternFill>
          <bgColor rgb="FF66FFFF"/>
        </patternFill>
      </fill>
    </dxf>
    <dxf>
      <fill>
        <patternFill>
          <bgColor theme="9" tint="0.39994506668294322"/>
        </patternFill>
      </fill>
    </dxf>
    <dxf>
      <fill>
        <patternFill>
          <bgColor theme="8" tint="-0.499984740745262"/>
        </patternFill>
      </fill>
    </dxf>
    <dxf>
      <fill>
        <patternFill>
          <bgColor rgb="FF66FFFF"/>
        </patternFill>
      </fill>
    </dxf>
    <dxf>
      <fill>
        <patternFill>
          <bgColor theme="9" tint="0.39994506668294322"/>
        </patternFill>
      </fill>
    </dxf>
    <dxf>
      <fill>
        <patternFill>
          <bgColor theme="7" tint="0.39994506668294322"/>
        </patternFill>
      </fill>
    </dxf>
    <dxf>
      <fill>
        <patternFill>
          <bgColor rgb="FF66FFFF"/>
        </patternFill>
      </fill>
    </dxf>
    <dxf>
      <fill>
        <patternFill>
          <bgColor rgb="FF66FFFF"/>
        </patternFill>
      </fill>
    </dxf>
    <dxf>
      <fill>
        <patternFill>
          <bgColor theme="7" tint="0.39994506668294322"/>
        </patternFill>
      </fill>
    </dxf>
    <dxf>
      <fill>
        <patternFill>
          <bgColor theme="9" tint="0.39994506668294322"/>
        </patternFill>
      </fill>
    </dxf>
    <dxf>
      <fill>
        <patternFill>
          <bgColor theme="9" tint="0.39994506668294322"/>
        </patternFill>
      </fill>
    </dxf>
    <dxf>
      <fill>
        <patternFill>
          <bgColor rgb="FF66FFFF"/>
        </patternFill>
      </fill>
    </dxf>
    <dxf>
      <fill>
        <patternFill>
          <bgColor theme="7" tint="0.39994506668294322"/>
        </patternFill>
      </fill>
    </dxf>
    <dxf>
      <fill>
        <patternFill>
          <bgColor theme="9" tint="0.39994506668294322"/>
        </patternFill>
      </fill>
    </dxf>
    <dxf>
      <fill>
        <patternFill>
          <bgColor rgb="FF66FFFF"/>
        </patternFill>
      </fill>
    </dxf>
    <dxf>
      <fill>
        <patternFill>
          <bgColor theme="8" tint="-0.499984740745262"/>
        </patternFill>
      </fill>
    </dxf>
    <dxf>
      <fill>
        <patternFill>
          <bgColor rgb="FF66FFFF"/>
        </patternFill>
      </fill>
    </dxf>
    <dxf>
      <fill>
        <patternFill>
          <bgColor theme="9" tint="0.39994506668294322"/>
        </patternFill>
      </fill>
    </dxf>
    <dxf>
      <fill>
        <patternFill>
          <bgColor theme="8"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9" tint="0.39994506668294322"/>
        </patternFill>
      </fill>
    </dxf>
    <dxf>
      <fill>
        <patternFill>
          <bgColor theme="8" tint="0.79998168889431442"/>
        </patternFill>
      </fill>
    </dxf>
    <dxf>
      <fill>
        <patternFill>
          <bgColor rgb="FFFF7C80"/>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7" tint="0.39994506668294322"/>
        </patternFill>
      </fill>
    </dxf>
    <dxf>
      <fill>
        <patternFill>
          <bgColor theme="8" tint="-0.499984740745262"/>
        </patternFill>
      </fill>
    </dxf>
    <dxf>
      <fill>
        <patternFill>
          <bgColor theme="9" tint="-0.499984740745262"/>
        </patternFill>
      </fill>
    </dxf>
    <dxf>
      <fill>
        <patternFill>
          <bgColor rgb="FF66FFFF"/>
        </patternFill>
      </fill>
    </dxf>
    <dxf>
      <fill>
        <patternFill>
          <bgColor theme="8" tint="0.59996337778862885"/>
        </patternFill>
      </fill>
    </dxf>
    <dxf>
      <fill>
        <patternFill>
          <bgColor theme="8" tint="0.7999816888943144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4" tint="-0.499984740745262"/>
        </patternFill>
      </fill>
    </dxf>
    <dxf>
      <fill>
        <patternFill>
          <bgColor theme="8" tint="-0.499984740745262"/>
        </patternFill>
      </fill>
    </dxf>
    <dxf>
      <fill>
        <patternFill>
          <bgColor rgb="FF66FFFF"/>
        </patternFill>
      </fill>
    </dxf>
    <dxf>
      <fill>
        <patternFill>
          <bgColor theme="8" tint="-0.499984740745262"/>
        </patternFill>
      </fill>
    </dxf>
    <dxf>
      <fill>
        <patternFill>
          <bgColor rgb="FF66FFFF"/>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39994506668294322"/>
        </patternFill>
      </fill>
    </dxf>
    <dxf>
      <fill>
        <patternFill>
          <bgColor theme="8" tint="-0.499984740745262"/>
        </patternFill>
      </fill>
    </dxf>
    <dxf>
      <fill>
        <patternFill>
          <bgColor rgb="FFFF7C80"/>
        </patternFill>
      </fill>
    </dxf>
    <dxf>
      <fill>
        <patternFill>
          <bgColor theme="8" tint="0.79998168889431442"/>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66FFFF"/>
        </patternFill>
      </fill>
    </dxf>
    <dxf>
      <fill>
        <patternFill>
          <bgColor theme="8" tint="-0.499984740745262"/>
        </patternFill>
      </fill>
    </dxf>
    <dxf>
      <fill>
        <patternFill>
          <bgColor rgb="FFFF7C80"/>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9" tint="-0.499984740745262"/>
        </patternFill>
      </fill>
    </dxf>
    <dxf>
      <fill>
        <patternFill>
          <bgColor theme="9" tint="0.39994506668294322"/>
        </patternFill>
      </fill>
    </dxf>
    <dxf>
      <fill>
        <patternFill>
          <bgColor rgb="FFFF7C80"/>
        </patternFill>
      </fill>
    </dxf>
    <dxf>
      <fill>
        <patternFill>
          <bgColor theme="9" tint="-0.499984740745262"/>
        </patternFill>
      </fill>
    </dxf>
    <dxf>
      <fill>
        <patternFill>
          <bgColor theme="8" tint="-0.499984740745262"/>
        </patternFill>
      </fill>
    </dxf>
    <dxf>
      <fill>
        <patternFill>
          <bgColor rgb="FFFF7C80"/>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7" tint="0.39994506668294322"/>
        </patternFill>
      </fill>
    </dxf>
    <dxf>
      <fill>
        <patternFill>
          <bgColor theme="8" tint="-0.24994659260841701"/>
        </patternFill>
      </fill>
    </dxf>
    <dxf>
      <fill>
        <patternFill>
          <bgColor theme="8" tint="0.59996337778862885"/>
        </patternFill>
      </fill>
    </dxf>
    <dxf>
      <fill>
        <patternFill>
          <bgColor rgb="FFFF7C80"/>
        </patternFill>
      </fill>
    </dxf>
    <dxf>
      <fill>
        <patternFill>
          <bgColor theme="8" tint="-0.499984740745262"/>
        </patternFill>
      </fill>
    </dxf>
    <dxf>
      <fill>
        <patternFill>
          <bgColor theme="9" tint="-0.499984740745262"/>
        </patternFill>
      </fill>
    </dxf>
    <dxf>
      <fill>
        <patternFill>
          <bgColor theme="9" tint="0.39994506668294322"/>
        </patternFill>
      </fill>
    </dxf>
    <dxf>
      <fill>
        <patternFill>
          <bgColor theme="9" tint="0.39994506668294322"/>
        </patternFill>
      </fill>
    </dxf>
    <dxf>
      <fill>
        <patternFill>
          <bgColor rgb="FF66FFFF"/>
        </patternFill>
      </fill>
    </dxf>
    <dxf>
      <fill>
        <patternFill>
          <bgColor theme="8" tint="-0.499984740745262"/>
        </patternFill>
      </fill>
    </dxf>
    <dxf>
      <fill>
        <patternFill>
          <bgColor theme="9" tint="0.39994506668294322"/>
        </patternFill>
      </fill>
    </dxf>
    <dxf>
      <fill>
        <patternFill>
          <bgColor theme="8" tint="0.79998168889431442"/>
        </patternFill>
      </fill>
    </dxf>
    <dxf>
      <fill>
        <patternFill>
          <bgColor rgb="FFFF7C80"/>
        </patternFill>
      </fill>
    </dxf>
    <dxf>
      <fill>
        <patternFill>
          <bgColor theme="8" tint="-0.24994659260841701"/>
        </patternFill>
      </fill>
    </dxf>
    <dxf>
      <fill>
        <patternFill>
          <bgColor theme="8" tint="0.59996337778862885"/>
        </patternFill>
      </fill>
    </dxf>
    <dxf>
      <fill>
        <patternFill>
          <bgColor theme="2" tint="-9.9948118533890809E-2"/>
        </patternFill>
      </fill>
    </dxf>
    <dxf>
      <fill>
        <patternFill>
          <bgColor theme="8" tint="-0.499984740745262"/>
        </patternFill>
      </fill>
    </dxf>
    <dxf>
      <fill>
        <patternFill>
          <bgColor rgb="FFFF7C80"/>
        </patternFill>
      </fill>
    </dxf>
    <dxf>
      <fill>
        <patternFill>
          <bgColor theme="8" tint="-0.24994659260841701"/>
        </patternFill>
      </fill>
    </dxf>
    <dxf>
      <fill>
        <patternFill>
          <bgColor theme="8" tint="0.59996337778862885"/>
        </patternFill>
      </fill>
    </dxf>
    <dxf>
      <fill>
        <patternFill>
          <bgColor rgb="FFB889DB"/>
        </patternFill>
      </fill>
    </dxf>
    <dxf>
      <fill>
        <patternFill>
          <bgColor theme="8" tint="0.79998168889431442"/>
        </patternFill>
      </fill>
    </dxf>
    <dxf>
      <fill>
        <patternFill>
          <bgColor theme="7" tint="0.39994506668294322"/>
        </patternFill>
      </fill>
    </dxf>
    <dxf>
      <fill>
        <patternFill>
          <bgColor theme="8" tint="-0.499984740745262"/>
        </patternFill>
      </fill>
    </dxf>
    <dxf>
      <fill>
        <patternFill>
          <bgColor theme="9" tint="-0.499984740745262"/>
        </patternFill>
      </fill>
    </dxf>
    <dxf>
      <fill>
        <patternFill>
          <bgColor theme="4" tint="-0.499984740745262"/>
        </patternFill>
      </fill>
    </dxf>
    <dxf>
      <fill>
        <patternFill>
          <bgColor rgb="FFB889DB"/>
        </patternFill>
      </fill>
    </dxf>
    <dxf>
      <fill>
        <patternFill>
          <bgColor theme="8" tint="-0.24994659260841701"/>
        </patternFill>
      </fill>
    </dxf>
    <dxf>
      <fill>
        <patternFill>
          <bgColor theme="8" tint="0.79998168889431442"/>
        </patternFill>
      </fill>
    </dxf>
    <dxf>
      <fill>
        <patternFill>
          <bgColor theme="8" tint="0.59996337778862885"/>
        </patternFill>
      </fill>
    </dxf>
    <dxf>
      <fill>
        <patternFill>
          <bgColor theme="8" tint="-0.499984740745262"/>
        </patternFill>
      </fill>
    </dxf>
    <dxf>
      <fill>
        <patternFill>
          <bgColor theme="9" tint="-0.499984740745262"/>
        </patternFill>
      </fill>
    </dxf>
    <dxf>
      <fill>
        <patternFill>
          <bgColor theme="4" tint="-0.499984740745262"/>
        </patternFill>
      </fill>
    </dxf>
    <dxf>
      <fill>
        <patternFill>
          <bgColor theme="8" tint="0.79998168889431442"/>
        </patternFill>
      </fill>
    </dxf>
    <dxf>
      <fill>
        <patternFill>
          <bgColor theme="8" tint="0.59996337778862885"/>
        </patternFill>
      </fill>
    </dxf>
    <dxf>
      <fill>
        <patternFill>
          <bgColor theme="2" tint="-9.9948118533890809E-2"/>
        </patternFill>
      </fill>
    </dxf>
    <dxf>
      <fill>
        <patternFill>
          <bgColor rgb="FFFF7C80"/>
        </patternFill>
      </fill>
    </dxf>
    <dxf>
      <fill>
        <patternFill>
          <bgColor theme="8" tint="-0.499984740745262"/>
        </patternFill>
      </fill>
    </dxf>
    <dxf>
      <fill>
        <patternFill>
          <bgColor rgb="FFFF7C80"/>
        </patternFill>
      </fill>
    </dxf>
    <dxf>
      <fill>
        <patternFill>
          <bgColor theme="8" tint="-0.24994659260841701"/>
        </patternFill>
      </fill>
    </dxf>
    <dxf>
      <fill>
        <patternFill>
          <bgColor theme="7" tint="0.39994506668294322"/>
        </patternFill>
      </fill>
    </dxf>
    <dxf>
      <fill>
        <patternFill>
          <bgColor rgb="FF66FFFF"/>
        </patternFill>
      </fill>
    </dxf>
    <dxf>
      <fill>
        <patternFill>
          <bgColor theme="7" tint="0.39994506668294322"/>
        </patternFill>
      </fill>
    </dxf>
    <dxf>
      <fill>
        <patternFill>
          <bgColor theme="9" tint="0.39994506668294322"/>
        </patternFill>
      </fill>
    </dxf>
    <dxf>
      <fill>
        <patternFill>
          <bgColor rgb="FFFF7C80"/>
        </patternFill>
      </fill>
    </dxf>
    <dxf>
      <fill>
        <patternFill>
          <bgColor theme="8" tint="-0.24994659260841701"/>
        </patternFill>
      </fill>
    </dxf>
    <dxf>
      <fill>
        <patternFill>
          <bgColor theme="4" tint="-0.499984740745262"/>
        </patternFill>
      </fill>
    </dxf>
    <dxf>
      <fill>
        <patternFill>
          <bgColor theme="9" tint="-0.499984740745262"/>
        </patternFill>
      </fill>
    </dxf>
    <dxf>
      <fill>
        <patternFill>
          <bgColor theme="8" tint="0.79998168889431442"/>
        </patternFill>
      </fill>
    </dxf>
    <dxf>
      <fill>
        <patternFill>
          <bgColor theme="8" tint="0.59996337778862885"/>
        </patternFill>
      </fill>
    </dxf>
    <dxf>
      <fill>
        <patternFill>
          <bgColor theme="9" tint="0.39994506668294322"/>
        </patternFill>
      </fill>
    </dxf>
    <dxf>
      <fill>
        <patternFill>
          <bgColor rgb="FF66FFFF"/>
        </patternFill>
      </fill>
    </dxf>
    <dxf>
      <fill>
        <patternFill>
          <bgColor rgb="FF66FFFF"/>
        </patternFill>
      </fill>
    </dxf>
    <dxf>
      <fill>
        <patternFill>
          <bgColor rgb="FF66FFFF"/>
        </patternFill>
      </fill>
    </dxf>
    <dxf>
      <fill>
        <patternFill>
          <bgColor theme="9" tint="0.39994506668294322"/>
        </patternFill>
      </fill>
    </dxf>
    <dxf>
      <fill>
        <patternFill>
          <bgColor theme="8" tint="-0.499984740745262"/>
        </patternFill>
      </fill>
    </dxf>
    <dxf>
      <fill>
        <patternFill>
          <bgColor theme="9" tint="0.39994506668294322"/>
        </patternFill>
      </fill>
    </dxf>
    <dxf>
      <fill>
        <patternFill>
          <bgColor rgb="FF66FFFF"/>
        </patternFill>
      </fill>
    </dxf>
    <dxf>
      <fill>
        <patternFill>
          <bgColor theme="8" tint="-0.499984740745262"/>
        </patternFill>
      </fill>
    </dxf>
    <dxf>
      <fill>
        <patternFill>
          <bgColor theme="9" tint="0.39994506668294322"/>
        </patternFill>
      </fill>
    </dxf>
    <dxf>
      <fill>
        <patternFill>
          <bgColor rgb="FF66FFFF"/>
        </patternFill>
      </fill>
    </dxf>
    <dxf>
      <fill>
        <patternFill>
          <bgColor rgb="FF66FFFF"/>
        </patternFill>
      </fill>
    </dxf>
    <dxf>
      <fill>
        <patternFill>
          <bgColor theme="9" tint="0.39994506668294322"/>
        </patternFill>
      </fill>
    </dxf>
    <dxf>
      <fill>
        <patternFill>
          <bgColor rgb="FF66FFFF"/>
        </patternFill>
      </fill>
    </dxf>
    <dxf>
      <fill>
        <patternFill>
          <bgColor theme="9" tint="0.39994506668294322"/>
        </patternFill>
      </fill>
    </dxf>
    <dxf>
      <fill>
        <patternFill>
          <bgColor theme="9" tint="0.39994506668294322"/>
        </patternFill>
      </fill>
    </dxf>
    <dxf>
      <fill>
        <patternFill>
          <bgColor rgb="FF66FFFF"/>
        </patternFill>
      </fill>
    </dxf>
    <dxf>
      <fill>
        <patternFill>
          <bgColor theme="8" tint="-0.499984740745262"/>
        </patternFill>
      </fill>
    </dxf>
    <dxf>
      <fill>
        <patternFill>
          <bgColor theme="9" tint="0.39994506668294322"/>
        </patternFill>
      </fill>
    </dxf>
    <dxf>
      <fill>
        <patternFill>
          <bgColor rgb="FF66FFFF"/>
        </patternFill>
      </fill>
    </dxf>
    <dxf>
      <fill>
        <patternFill>
          <bgColor theme="9" tint="0.39994506668294322"/>
        </patternFill>
      </fill>
    </dxf>
    <dxf>
      <fill>
        <patternFill>
          <bgColor rgb="FF66FFFF"/>
        </patternFill>
      </fill>
    </dxf>
    <dxf>
      <fill>
        <patternFill>
          <bgColor theme="9" tint="0.39994506668294322"/>
        </patternFill>
      </fill>
    </dxf>
    <dxf>
      <fill>
        <patternFill>
          <bgColor rgb="FF66FFFF"/>
        </patternFill>
      </fill>
    </dxf>
    <dxf>
      <fill>
        <patternFill>
          <bgColor theme="9" tint="0.39994506668294322"/>
        </patternFill>
      </fill>
    </dxf>
    <dxf>
      <fill>
        <patternFill>
          <bgColor rgb="FF66FFFF"/>
        </patternFill>
      </fill>
    </dxf>
    <dxf>
      <fill>
        <patternFill>
          <bgColor theme="8" tint="-0.499984740745262"/>
        </patternFill>
      </fill>
    </dxf>
    <dxf>
      <fill>
        <patternFill>
          <bgColor theme="9" tint="0.39994506668294322"/>
        </patternFill>
      </fill>
    </dxf>
    <dxf>
      <fill>
        <patternFill>
          <bgColor rgb="FF66FFFF"/>
        </patternFill>
      </fill>
    </dxf>
    <dxf>
      <fill>
        <patternFill>
          <bgColor theme="9" tint="0.39994506668294322"/>
        </patternFill>
      </fill>
    </dxf>
    <dxf>
      <fill>
        <patternFill>
          <bgColor rgb="FF66FFFF"/>
        </patternFill>
      </fill>
    </dxf>
    <dxf>
      <fill>
        <patternFill>
          <bgColor theme="9" tint="0.39994506668294322"/>
        </patternFill>
      </fill>
    </dxf>
    <dxf>
      <fill>
        <patternFill>
          <bgColor theme="9" tint="0.39994506668294322"/>
        </patternFill>
      </fill>
    </dxf>
    <dxf>
      <fill>
        <patternFill>
          <bgColor rgb="FF66FFFF"/>
        </patternFill>
      </fill>
    </dxf>
    <dxf>
      <fill>
        <patternFill>
          <bgColor theme="9" tint="0.39994506668294322"/>
        </patternFill>
      </fill>
    </dxf>
    <dxf>
      <fill>
        <patternFill>
          <bgColor theme="8" tint="-0.499984740745262"/>
        </patternFill>
      </fill>
    </dxf>
    <dxf>
      <fill>
        <patternFill>
          <bgColor rgb="FF66FFFF"/>
        </patternFill>
      </fill>
    </dxf>
    <dxf>
      <fill>
        <patternFill>
          <bgColor rgb="FF66FFFF"/>
        </patternFill>
      </fill>
    </dxf>
    <dxf>
      <fill>
        <patternFill>
          <bgColor theme="9" tint="0.39994506668294322"/>
        </patternFill>
      </fill>
    </dxf>
    <dxf>
      <fill>
        <patternFill>
          <bgColor rgb="FF66FFFF"/>
        </patternFill>
      </fill>
    </dxf>
    <dxf>
      <fill>
        <patternFill>
          <bgColor theme="9" tint="0.39994506668294322"/>
        </patternFill>
      </fill>
    </dxf>
    <dxf>
      <fill>
        <patternFill>
          <bgColor rgb="FF66FFFF"/>
        </patternFill>
      </fill>
    </dxf>
    <dxf>
      <fill>
        <patternFill>
          <bgColor theme="8" tint="-0.499984740745262"/>
        </patternFill>
      </fill>
    </dxf>
    <dxf>
      <fill>
        <patternFill>
          <bgColor rgb="FF66FFFF"/>
        </patternFill>
      </fill>
    </dxf>
    <dxf>
      <fill>
        <patternFill>
          <bgColor theme="9" tint="0.39994506668294322"/>
        </patternFill>
      </fill>
    </dxf>
    <dxf>
      <fill>
        <patternFill>
          <bgColor rgb="FF66FFFF"/>
        </patternFill>
      </fill>
    </dxf>
    <dxf>
      <fill>
        <patternFill>
          <bgColor theme="9" tint="0.39994506668294322"/>
        </patternFill>
      </fill>
    </dxf>
    <dxf>
      <fill>
        <patternFill>
          <bgColor rgb="FF66FFFF"/>
        </patternFill>
      </fill>
    </dxf>
    <dxf>
      <fill>
        <patternFill>
          <bgColor theme="9" tint="0.39994506668294322"/>
        </patternFill>
      </fill>
    </dxf>
    <dxf>
      <fill>
        <patternFill>
          <bgColor rgb="FF66FFFF"/>
        </patternFill>
      </fill>
    </dxf>
    <dxf>
      <fill>
        <patternFill>
          <bgColor theme="9" tint="0.39994506668294322"/>
        </patternFill>
      </fill>
    </dxf>
    <dxf>
      <fill>
        <patternFill>
          <bgColor rgb="FF66FFFF"/>
        </patternFill>
      </fill>
    </dxf>
    <dxf>
      <fill>
        <patternFill>
          <bgColor rgb="FF66FFFF"/>
        </patternFill>
      </fill>
    </dxf>
    <dxf>
      <fill>
        <patternFill>
          <bgColor theme="8" tint="-0.499984740745262"/>
        </patternFill>
      </fill>
    </dxf>
    <dxf>
      <fill>
        <patternFill>
          <bgColor theme="9" tint="0.39994506668294322"/>
        </patternFill>
      </fill>
    </dxf>
    <dxf>
      <fill>
        <patternFill>
          <bgColor theme="9" tint="0.39994506668294322"/>
        </patternFill>
      </fill>
    </dxf>
    <dxf>
      <fill>
        <patternFill>
          <bgColor rgb="FF66FFFF"/>
        </patternFill>
      </fill>
    </dxf>
    <dxf>
      <fill>
        <patternFill>
          <bgColor rgb="FF66FFFF"/>
        </patternFill>
      </fill>
    </dxf>
    <dxf>
      <fill>
        <patternFill>
          <bgColor theme="9" tint="0.39994506668294322"/>
        </patternFill>
      </fill>
    </dxf>
    <dxf>
      <fill>
        <patternFill>
          <bgColor theme="9" tint="0.39994506668294322"/>
        </patternFill>
      </fill>
    </dxf>
    <dxf>
      <fill>
        <patternFill>
          <bgColor rgb="FF66FFFF"/>
        </patternFill>
      </fill>
    </dxf>
    <dxf>
      <fill>
        <patternFill>
          <bgColor rgb="FF66FFFF"/>
        </patternFill>
      </fill>
    </dxf>
    <dxf>
      <fill>
        <patternFill>
          <bgColor theme="9" tint="0.39994506668294322"/>
        </patternFill>
      </fill>
    </dxf>
    <dxf>
      <fill>
        <patternFill>
          <bgColor rgb="FF66FFFF"/>
        </patternFill>
      </fill>
    </dxf>
    <dxf>
      <fill>
        <patternFill>
          <bgColor rgb="FF66FFFF"/>
        </patternFill>
      </fill>
    </dxf>
    <dxf>
      <fill>
        <patternFill>
          <bgColor theme="9" tint="0.39994506668294322"/>
        </patternFill>
      </fill>
    </dxf>
    <dxf>
      <fill>
        <patternFill>
          <bgColor theme="9" tint="0.39994506668294322"/>
        </patternFill>
      </fill>
    </dxf>
    <dxf>
      <fill>
        <patternFill>
          <bgColor rgb="FF66FFFF"/>
        </patternFill>
      </fill>
    </dxf>
    <dxf>
      <fill>
        <patternFill>
          <bgColor rgb="FF66FFFF"/>
        </patternFill>
      </fill>
    </dxf>
    <dxf>
      <fill>
        <patternFill>
          <bgColor theme="8" tint="-0.499984740745262"/>
        </patternFill>
      </fill>
    </dxf>
    <dxf>
      <fill>
        <patternFill>
          <bgColor theme="9" tint="0.39994506668294322"/>
        </patternFill>
      </fill>
    </dxf>
    <dxf>
      <fill>
        <patternFill>
          <bgColor theme="9" tint="0.39994506668294322"/>
        </patternFill>
      </fill>
    </dxf>
    <dxf>
      <fill>
        <patternFill>
          <bgColor rgb="FF66FFFF"/>
        </patternFill>
      </fill>
    </dxf>
    <dxf>
      <fill>
        <patternFill>
          <bgColor rgb="FF66FFFF"/>
        </patternFill>
      </fill>
    </dxf>
    <dxf>
      <fill>
        <patternFill>
          <bgColor theme="9" tint="0.39994506668294322"/>
        </patternFill>
      </fill>
    </dxf>
    <dxf>
      <fill>
        <patternFill>
          <bgColor rgb="FF66FFFF"/>
        </patternFill>
      </fill>
    </dxf>
    <dxf>
      <fill>
        <patternFill>
          <bgColor theme="9" tint="0.39994506668294322"/>
        </patternFill>
      </fill>
    </dxf>
    <dxf>
      <fill>
        <patternFill>
          <bgColor rgb="FF66FFFF"/>
        </patternFill>
      </fill>
    </dxf>
    <dxf>
      <fill>
        <patternFill>
          <bgColor theme="9" tint="0.39994506668294322"/>
        </patternFill>
      </fill>
    </dxf>
    <dxf>
      <fill>
        <patternFill>
          <bgColor rgb="FF66FFFF"/>
        </patternFill>
      </fill>
    </dxf>
    <dxf>
      <fill>
        <patternFill>
          <bgColor rgb="FF66FFFF"/>
        </patternFill>
      </fill>
    </dxf>
    <dxf>
      <fill>
        <patternFill>
          <bgColor theme="9" tint="0.39994506668294322"/>
        </patternFill>
      </fill>
    </dxf>
    <dxf>
      <fill>
        <patternFill>
          <bgColor theme="9" tint="0.39994506668294322"/>
        </patternFill>
      </fill>
    </dxf>
    <dxf>
      <fill>
        <patternFill>
          <bgColor rgb="FF66FFFF"/>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rgb="FF66FFFF"/>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4" tint="-0.499984740745262"/>
        </patternFill>
      </fill>
    </dxf>
    <dxf>
      <fill>
        <patternFill>
          <bgColor theme="8" tint="-0.499984740745262"/>
        </patternFill>
      </fill>
    </dxf>
    <dxf>
      <fill>
        <patternFill>
          <bgColor theme="8" tint="0.59996337778862885"/>
        </patternFill>
      </fill>
    </dxf>
    <dxf>
      <fill>
        <patternFill>
          <bgColor theme="8" tint="-0.499984740745262"/>
        </patternFill>
      </fill>
    </dxf>
    <dxf>
      <fill>
        <patternFill>
          <bgColor theme="7" tint="0.39994506668294322"/>
        </patternFill>
      </fill>
    </dxf>
    <dxf>
      <fill>
        <patternFill>
          <bgColor rgb="FFFF7C80"/>
        </patternFill>
      </fill>
    </dxf>
    <dxf>
      <fill>
        <patternFill>
          <bgColor theme="9" tint="0.39994506668294322"/>
        </patternFill>
      </fill>
    </dxf>
    <dxf>
      <fill>
        <patternFill>
          <bgColor theme="8" tint="-0.499984740745262"/>
        </patternFill>
      </fill>
    </dxf>
    <dxf>
      <fill>
        <patternFill>
          <bgColor theme="8" tint="0.7999816888943144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theme="9" tint="0.39994506668294322"/>
        </patternFill>
      </fill>
    </dxf>
    <dxf>
      <fill>
        <patternFill>
          <bgColor rgb="FF66FFFF"/>
        </patternFill>
      </fill>
    </dxf>
    <dxf>
      <fill>
        <patternFill>
          <bgColor theme="7" tint="0.3999450666829432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theme="9" tint="-0.499984740745262"/>
        </patternFill>
      </fill>
    </dxf>
    <dxf>
      <fill>
        <patternFill>
          <bgColor theme="7" tint="0.39994506668294322"/>
        </patternFill>
      </fill>
    </dxf>
    <dxf>
      <fill>
        <patternFill>
          <bgColor theme="9" tint="0.39994506668294322"/>
        </patternFill>
      </fill>
    </dxf>
    <dxf>
      <fill>
        <patternFill>
          <bgColor rgb="FF66FFFF"/>
        </patternFill>
      </fill>
    </dxf>
    <dxf>
      <fill>
        <patternFill>
          <bgColor theme="4" tint="-0.499984740745262"/>
        </patternFill>
      </fill>
    </dxf>
    <dxf>
      <fill>
        <patternFill>
          <bgColor theme="7" tint="0.39994506668294322"/>
        </patternFill>
      </fill>
    </dxf>
    <dxf>
      <fill>
        <patternFill>
          <bgColor theme="9" tint="0.39994506668294322"/>
        </patternFill>
      </fill>
    </dxf>
    <dxf>
      <fill>
        <patternFill>
          <bgColor theme="8" tint="-0.499984740745262"/>
        </patternFill>
      </fill>
    </dxf>
    <dxf>
      <fill>
        <patternFill>
          <bgColor rgb="FFFF7C80"/>
        </patternFill>
      </fill>
    </dxf>
    <dxf>
      <fill>
        <patternFill>
          <bgColor theme="8" tint="0.59996337778862885"/>
        </patternFill>
      </fill>
    </dxf>
    <dxf>
      <fill>
        <patternFill>
          <bgColor theme="8" tint="-0.24994659260841701"/>
        </patternFill>
      </fill>
    </dxf>
    <dxf>
      <fill>
        <patternFill>
          <bgColor theme="4" tint="-0.49998474074526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rgb="FF66FFFF"/>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theme="9" tint="0.39994506668294322"/>
        </patternFill>
      </fill>
    </dxf>
    <dxf>
      <fill>
        <patternFill>
          <bgColor theme="4" tint="-0.499984740745262"/>
        </patternFill>
      </fill>
    </dxf>
    <dxf>
      <fill>
        <patternFill>
          <bgColor theme="8" tint="-0.499984740745262"/>
        </patternFill>
      </fill>
    </dxf>
    <dxf>
      <fill>
        <patternFill>
          <bgColor rgb="FF66FFFF"/>
        </patternFill>
      </fill>
    </dxf>
    <dxf>
      <fill>
        <patternFill>
          <bgColor theme="7" tint="0.39994506668294322"/>
        </patternFill>
      </fill>
    </dxf>
    <dxf>
      <fill>
        <patternFill>
          <bgColor theme="7" tint="0.39994506668294322"/>
        </patternFill>
      </fill>
    </dxf>
    <dxf>
      <fill>
        <patternFill>
          <bgColor theme="9" tint="-0.499984740745262"/>
        </patternFill>
      </fill>
    </dxf>
    <dxf>
      <fill>
        <patternFill>
          <bgColor theme="8" tint="-0.499984740745262"/>
        </patternFill>
      </fill>
    </dxf>
    <dxf>
      <fill>
        <patternFill>
          <bgColor theme="4" tint="-0.499984740745262"/>
        </patternFill>
      </fill>
    </dxf>
    <dxf>
      <fill>
        <patternFill>
          <bgColor theme="8" tint="-0.24994659260841701"/>
        </patternFill>
      </fill>
    </dxf>
    <dxf>
      <fill>
        <patternFill>
          <bgColor theme="8" tint="0.59996337778862885"/>
        </patternFill>
      </fill>
    </dxf>
    <dxf>
      <fill>
        <patternFill>
          <bgColor theme="8" tint="0.79998168889431442"/>
        </patternFill>
      </fill>
    </dxf>
    <dxf>
      <fill>
        <patternFill>
          <bgColor rgb="FFFF7C80"/>
        </patternFill>
      </fill>
    </dxf>
    <dxf>
      <fill>
        <patternFill>
          <bgColor rgb="FF66FFFF"/>
        </patternFill>
      </fill>
    </dxf>
    <dxf>
      <fill>
        <patternFill>
          <bgColor rgb="FFFF7C80"/>
        </patternFill>
      </fill>
    </dxf>
    <dxf>
      <fill>
        <patternFill>
          <bgColor theme="8" tint="0.79998168889431442"/>
        </patternFill>
      </fill>
    </dxf>
    <dxf>
      <fill>
        <patternFill>
          <bgColor theme="8" tint="0.59996337778862885"/>
        </patternFill>
      </fill>
    </dxf>
    <dxf>
      <fill>
        <patternFill>
          <bgColor theme="8" tint="0.79998168889431442"/>
        </patternFill>
      </fill>
    </dxf>
    <dxf>
      <fill>
        <patternFill>
          <bgColor theme="8" tint="-0.24994659260841701"/>
        </patternFill>
      </fill>
    </dxf>
    <dxf>
      <fill>
        <patternFill>
          <bgColor theme="4" tint="-0.499984740745262"/>
        </patternFill>
      </fill>
    </dxf>
    <dxf>
      <fill>
        <patternFill>
          <bgColor theme="9" tint="0.39994506668294322"/>
        </patternFill>
      </fill>
    </dxf>
    <dxf>
      <fill>
        <patternFill>
          <bgColor rgb="FF66FFFF"/>
        </patternFill>
      </fill>
    </dxf>
    <dxf>
      <fill>
        <patternFill>
          <bgColor theme="9" tint="0.39994506668294322"/>
        </patternFill>
      </fill>
    </dxf>
    <dxf>
      <fill>
        <patternFill>
          <bgColor rgb="FF66FFFF"/>
        </patternFill>
      </fill>
    </dxf>
    <dxf>
      <fill>
        <patternFill>
          <bgColor rgb="FF66FFFF"/>
        </patternFill>
      </fill>
    </dxf>
    <dxf>
      <fill>
        <patternFill>
          <bgColor rgb="FFFF7C80"/>
        </patternFill>
      </fill>
    </dxf>
    <dxf>
      <fill>
        <patternFill>
          <bgColor theme="7" tint="0.39994506668294322"/>
        </patternFill>
      </fill>
    </dxf>
    <dxf>
      <fill>
        <patternFill>
          <bgColor rgb="FF00B0F0"/>
        </patternFill>
      </fill>
    </dxf>
    <dxf>
      <fill>
        <patternFill>
          <bgColor theme="4" tint="-0.499984740745262"/>
        </patternFill>
      </fill>
    </dxf>
    <dxf>
      <fill>
        <patternFill>
          <bgColor theme="9" tint="0.59996337778862885"/>
        </patternFill>
      </fill>
    </dxf>
    <dxf>
      <fill>
        <patternFill>
          <bgColor theme="8" tint="0.59996337778862885"/>
        </patternFill>
      </fill>
    </dxf>
    <dxf>
      <fill>
        <patternFill>
          <bgColor theme="8" tint="0.39994506668294322"/>
        </patternFill>
      </fill>
    </dxf>
    <dxf>
      <fill>
        <patternFill>
          <bgColor theme="8" tint="0.79998168889431442"/>
        </patternFill>
      </fill>
    </dxf>
    <dxf>
      <fill>
        <patternFill>
          <bgColor theme="8" tint="-0.24994659260841701"/>
        </patternFill>
      </fill>
    </dxf>
    <dxf>
      <fill>
        <patternFill>
          <bgColor rgb="FF66FFFF"/>
        </patternFill>
      </fill>
    </dxf>
    <dxf>
      <fill>
        <patternFill>
          <bgColor theme="8" tint="-0.499984740745262"/>
        </patternFill>
      </fill>
    </dxf>
    <dxf>
      <fill>
        <patternFill>
          <bgColor theme="7" tint="0.39994506668294322"/>
        </patternFill>
      </fill>
    </dxf>
    <dxf>
      <fill>
        <patternFill>
          <bgColor theme="9" tint="0.39994506668294322"/>
        </patternFill>
      </fill>
    </dxf>
    <dxf>
      <fill>
        <patternFill>
          <bgColor rgb="FF66FFFF"/>
        </patternFill>
      </fill>
    </dxf>
    <dxf>
      <fill>
        <patternFill>
          <bgColor rgb="FF66FFFF"/>
        </patternFill>
      </fill>
    </dxf>
    <dxf>
      <fill>
        <patternFill>
          <bgColor theme="8" tint="0.79998168889431442"/>
        </patternFill>
      </fill>
    </dxf>
    <dxf>
      <fill>
        <patternFill>
          <bgColor theme="8" tint="0.59996337778862885"/>
        </patternFill>
      </fill>
    </dxf>
    <dxf>
      <fill>
        <patternFill>
          <bgColor theme="8" tint="-0.24994659260841701"/>
        </patternFill>
      </fill>
    </dxf>
    <dxf>
      <fill>
        <patternFill>
          <bgColor rgb="FFFF7C80"/>
        </patternFill>
      </fill>
    </dxf>
    <dxf>
      <fill>
        <patternFill>
          <bgColor theme="7" tint="0.39994506668294322"/>
        </patternFill>
      </fill>
    </dxf>
    <dxf>
      <fill>
        <patternFill>
          <bgColor theme="8" tint="-0.499984740745262"/>
        </patternFill>
      </fill>
    </dxf>
    <dxf>
      <fill>
        <patternFill>
          <bgColor rgb="FF66FFFF"/>
        </patternFill>
      </fill>
    </dxf>
  </dxfs>
  <tableStyles count="0" defaultTableStyle="TableStyleMedium2" defaultPivotStyle="PivotStyleLight16"/>
  <colors>
    <mruColors>
      <color rgb="FFFF7C80"/>
      <color rgb="FF66FFFF"/>
      <color rgb="FF66FF66"/>
      <color rgb="FFFF4F4F"/>
      <color rgb="FFB889DB"/>
      <color rgb="FFD8BE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w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w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3.w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wmf"/></Relationships>
</file>

<file path=xl/drawings/drawing1.xml><?xml version="1.0" encoding="utf-8"?>
<xdr:wsDr xmlns:xdr="http://schemas.openxmlformats.org/drawingml/2006/spreadsheetDrawing" xmlns:a="http://schemas.openxmlformats.org/drawingml/2006/main">
  <xdr:twoCellAnchor editAs="oneCell">
    <xdr:from>
      <xdr:col>3</xdr:col>
      <xdr:colOff>9525</xdr:colOff>
      <xdr:row>8</xdr:row>
      <xdr:rowOff>95250</xdr:rowOff>
    </xdr:from>
    <xdr:to>
      <xdr:col>8</xdr:col>
      <xdr:colOff>229056</xdr:colOff>
      <xdr:row>20</xdr:row>
      <xdr:rowOff>152727</xdr:rowOff>
    </xdr:to>
    <xdr:pic>
      <xdr:nvPicPr>
        <xdr:cNvPr id="2" name="Picture 1">
          <a:extLst>
            <a:ext uri="{FF2B5EF4-FFF2-40B4-BE49-F238E27FC236}">
              <a16:creationId xmlns:a16="http://schemas.microsoft.com/office/drawing/2014/main" id="{851C9F13-1DAA-B36E-90D9-68D5531D852E}"/>
            </a:ext>
          </a:extLst>
        </xdr:cNvPr>
        <xdr:cNvPicPr>
          <a:picLocks noChangeAspect="1"/>
        </xdr:cNvPicPr>
      </xdr:nvPicPr>
      <xdr:blipFill>
        <a:blip xmlns:r="http://schemas.openxmlformats.org/officeDocument/2006/relationships" r:embed="rId1"/>
        <a:stretch>
          <a:fillRect/>
        </a:stretch>
      </xdr:blipFill>
      <xdr:spPr>
        <a:xfrm>
          <a:off x="2828925" y="1800225"/>
          <a:ext cx="3267531" cy="2343477"/>
        </a:xfrm>
        <a:prstGeom prst="rect">
          <a:avLst/>
        </a:prstGeom>
      </xdr:spPr>
    </xdr:pic>
    <xdr:clientData/>
  </xdr:twoCellAnchor>
  <xdr:twoCellAnchor>
    <xdr:from>
      <xdr:col>7</xdr:col>
      <xdr:colOff>142875</xdr:colOff>
      <xdr:row>14</xdr:row>
      <xdr:rowOff>123825</xdr:rowOff>
    </xdr:from>
    <xdr:to>
      <xdr:col>8</xdr:col>
      <xdr:colOff>542925</xdr:colOff>
      <xdr:row>17</xdr:row>
      <xdr:rowOff>95250</xdr:rowOff>
    </xdr:to>
    <xdr:cxnSp macro="">
      <xdr:nvCxnSpPr>
        <xdr:cNvPr id="6" name="Straight Arrow Connector 5">
          <a:extLst>
            <a:ext uri="{FF2B5EF4-FFF2-40B4-BE49-F238E27FC236}">
              <a16:creationId xmlns:a16="http://schemas.microsoft.com/office/drawing/2014/main" id="{CD4B19CA-B171-7134-9A2D-BD57436D304B}"/>
            </a:ext>
          </a:extLst>
        </xdr:cNvPr>
        <xdr:cNvCxnSpPr/>
      </xdr:nvCxnSpPr>
      <xdr:spPr>
        <a:xfrm flipH="1">
          <a:off x="5676900" y="2971800"/>
          <a:ext cx="1009650" cy="542925"/>
        </a:xfrm>
        <a:prstGeom prst="straightConnector1">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142875</xdr:colOff>
      <xdr:row>18</xdr:row>
      <xdr:rowOff>133350</xdr:rowOff>
    </xdr:from>
    <xdr:to>
      <xdr:col>8</xdr:col>
      <xdr:colOff>552450</xdr:colOff>
      <xdr:row>20</xdr:row>
      <xdr:rowOff>123825</xdr:rowOff>
    </xdr:to>
    <xdr:cxnSp macro="">
      <xdr:nvCxnSpPr>
        <xdr:cNvPr id="7" name="Straight Arrow Connector 6">
          <a:extLst>
            <a:ext uri="{FF2B5EF4-FFF2-40B4-BE49-F238E27FC236}">
              <a16:creationId xmlns:a16="http://schemas.microsoft.com/office/drawing/2014/main" id="{1729AA95-A105-432A-990C-D1DC5284FEEF}"/>
            </a:ext>
          </a:extLst>
        </xdr:cNvPr>
        <xdr:cNvCxnSpPr/>
      </xdr:nvCxnSpPr>
      <xdr:spPr>
        <a:xfrm flipH="1" flipV="1">
          <a:off x="5676900" y="3743325"/>
          <a:ext cx="1019175" cy="371475"/>
        </a:xfrm>
        <a:prstGeom prst="straightConnector1">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161925</xdr:colOff>
      <xdr:row>11</xdr:row>
      <xdr:rowOff>142875</xdr:rowOff>
    </xdr:from>
    <xdr:to>
      <xdr:col>8</xdr:col>
      <xdr:colOff>600075</xdr:colOff>
      <xdr:row>11</xdr:row>
      <xdr:rowOff>142875</xdr:rowOff>
    </xdr:to>
    <xdr:cxnSp macro="">
      <xdr:nvCxnSpPr>
        <xdr:cNvPr id="16" name="Straight Arrow Connector 15">
          <a:extLst>
            <a:ext uri="{FF2B5EF4-FFF2-40B4-BE49-F238E27FC236}">
              <a16:creationId xmlns:a16="http://schemas.microsoft.com/office/drawing/2014/main" id="{62B14A53-B6D3-83EF-1C65-3ED344138D94}"/>
            </a:ext>
          </a:extLst>
        </xdr:cNvPr>
        <xdr:cNvCxnSpPr/>
      </xdr:nvCxnSpPr>
      <xdr:spPr>
        <a:xfrm flipH="1">
          <a:off x="6029325" y="2419350"/>
          <a:ext cx="438150" cy="0"/>
        </a:xfrm>
        <a:prstGeom prst="straightConnector1">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69850</xdr:colOff>
      <xdr:row>17</xdr:row>
      <xdr:rowOff>104775</xdr:rowOff>
    </xdr:from>
    <xdr:to>
      <xdr:col>3</xdr:col>
      <xdr:colOff>142875</xdr:colOff>
      <xdr:row>17</xdr:row>
      <xdr:rowOff>107950</xdr:rowOff>
    </xdr:to>
    <xdr:cxnSp macro="">
      <xdr:nvCxnSpPr>
        <xdr:cNvPr id="22" name="Straight Arrow Connector 21">
          <a:extLst>
            <a:ext uri="{FF2B5EF4-FFF2-40B4-BE49-F238E27FC236}">
              <a16:creationId xmlns:a16="http://schemas.microsoft.com/office/drawing/2014/main" id="{F119C7C8-1C56-2D4B-1AE3-A9F2F2E96A25}"/>
            </a:ext>
          </a:extLst>
        </xdr:cNvPr>
        <xdr:cNvCxnSpPr/>
      </xdr:nvCxnSpPr>
      <xdr:spPr>
        <a:xfrm flipV="1">
          <a:off x="2679700" y="3419475"/>
          <a:ext cx="682625" cy="3175"/>
        </a:xfrm>
        <a:prstGeom prst="straightConnector1">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1030311</xdr:colOff>
      <xdr:row>28</xdr:row>
      <xdr:rowOff>57150</xdr:rowOff>
    </xdr:from>
    <xdr:to>
      <xdr:col>5</xdr:col>
      <xdr:colOff>333375</xdr:colOff>
      <xdr:row>34</xdr:row>
      <xdr:rowOff>38100</xdr:rowOff>
    </xdr:to>
    <xdr:pic>
      <xdr:nvPicPr>
        <xdr:cNvPr id="3" name="Picture 2">
          <a:extLst>
            <a:ext uri="{FF2B5EF4-FFF2-40B4-BE49-F238E27FC236}">
              <a16:creationId xmlns:a16="http://schemas.microsoft.com/office/drawing/2014/main" id="{5E3C8A71-D285-0C47-6757-E64A721225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0311" y="5572125"/>
          <a:ext cx="3617889" cy="1123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530137</xdr:colOff>
      <xdr:row>0</xdr:row>
      <xdr:rowOff>0</xdr:rowOff>
    </xdr:from>
    <xdr:to>
      <xdr:col>4</xdr:col>
      <xdr:colOff>4667250</xdr:colOff>
      <xdr:row>10</xdr:row>
      <xdr:rowOff>40187</xdr:rowOff>
    </xdr:to>
    <xdr:pic>
      <xdr:nvPicPr>
        <xdr:cNvPr id="3" name="Picture 2">
          <a:extLst>
            <a:ext uri="{FF2B5EF4-FFF2-40B4-BE49-F238E27FC236}">
              <a16:creationId xmlns:a16="http://schemas.microsoft.com/office/drawing/2014/main" id="{5F72E40C-CC6E-23ED-88AA-531574F2BE60}"/>
            </a:ext>
          </a:extLst>
        </xdr:cNvPr>
        <xdr:cNvPicPr>
          <a:picLocks noChangeAspect="1"/>
        </xdr:cNvPicPr>
      </xdr:nvPicPr>
      <xdr:blipFill>
        <a:blip xmlns:r="http://schemas.openxmlformats.org/officeDocument/2006/relationships" r:embed="rId1"/>
        <a:stretch>
          <a:fillRect/>
        </a:stretch>
      </xdr:blipFill>
      <xdr:spPr>
        <a:xfrm>
          <a:off x="5692687" y="0"/>
          <a:ext cx="4746713" cy="2907212"/>
        </a:xfrm>
        <a:prstGeom prst="rect">
          <a:avLst/>
        </a:prstGeom>
      </xdr:spPr>
    </xdr:pic>
    <xdr:clientData/>
  </xdr:twoCellAnchor>
  <xdr:twoCellAnchor>
    <xdr:from>
      <xdr:col>4</xdr:col>
      <xdr:colOff>133349</xdr:colOff>
      <xdr:row>10</xdr:row>
      <xdr:rowOff>42862</xdr:rowOff>
    </xdr:from>
    <xdr:to>
      <xdr:col>4</xdr:col>
      <xdr:colOff>2571750</xdr:colOff>
      <xdr:row>10</xdr:row>
      <xdr:rowOff>304800</xdr:rowOff>
    </xdr:to>
    <xdr:sp macro="" textlink="">
      <xdr:nvSpPr>
        <xdr:cNvPr id="4" name="TextBox 3">
          <a:extLst>
            <a:ext uri="{FF2B5EF4-FFF2-40B4-BE49-F238E27FC236}">
              <a16:creationId xmlns:a16="http://schemas.microsoft.com/office/drawing/2014/main" id="{0F3B92CD-9C1C-BAA4-13AA-06D1BF8678D0}"/>
            </a:ext>
          </a:extLst>
        </xdr:cNvPr>
        <xdr:cNvSpPr txBox="1"/>
      </xdr:nvSpPr>
      <xdr:spPr>
        <a:xfrm>
          <a:off x="5905499" y="2909887"/>
          <a:ext cx="2438401" cy="2619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kern="1200"/>
            <a:t>Where</a:t>
          </a:r>
          <a:r>
            <a:rPr lang="en-NZ" sz="1100" kern="1200" baseline="0"/>
            <a:t> pipe restraints are not required</a:t>
          </a:r>
          <a:endParaRPr lang="en-NZ" sz="1100" kern="1200"/>
        </a:p>
      </xdr:txBody>
    </xdr:sp>
    <xdr:clientData/>
  </xdr:twoCellAnchor>
  <xdr:twoCellAnchor>
    <xdr:from>
      <xdr:col>4</xdr:col>
      <xdr:colOff>193762</xdr:colOff>
      <xdr:row>15</xdr:row>
      <xdr:rowOff>176212</xdr:rowOff>
    </xdr:from>
    <xdr:to>
      <xdr:col>4</xdr:col>
      <xdr:colOff>2632163</xdr:colOff>
      <xdr:row>17</xdr:row>
      <xdr:rowOff>57150</xdr:rowOff>
    </xdr:to>
    <xdr:sp macro="" textlink="">
      <xdr:nvSpPr>
        <xdr:cNvPr id="6" name="TextBox 5">
          <a:extLst>
            <a:ext uri="{FF2B5EF4-FFF2-40B4-BE49-F238E27FC236}">
              <a16:creationId xmlns:a16="http://schemas.microsoft.com/office/drawing/2014/main" id="{29B75556-1C24-45EE-8F75-C403701121DE}"/>
            </a:ext>
          </a:extLst>
        </xdr:cNvPr>
        <xdr:cNvSpPr txBox="1"/>
      </xdr:nvSpPr>
      <xdr:spPr>
        <a:xfrm>
          <a:off x="5965912" y="6034087"/>
          <a:ext cx="2438401" cy="2619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kern="1200"/>
            <a:t>Where</a:t>
          </a:r>
          <a:r>
            <a:rPr lang="en-NZ" sz="1100" kern="1200" baseline="0"/>
            <a:t> duct restraints are not required</a:t>
          </a:r>
          <a:endParaRPr lang="en-NZ" sz="1100" kern="1200"/>
        </a:p>
      </xdr:txBody>
    </xdr:sp>
    <xdr:clientData/>
  </xdr:twoCellAnchor>
  <xdr:twoCellAnchor editAs="oneCell">
    <xdr:from>
      <xdr:col>3</xdr:col>
      <xdr:colOff>386938</xdr:colOff>
      <xdr:row>10</xdr:row>
      <xdr:rowOff>400050</xdr:rowOff>
    </xdr:from>
    <xdr:to>
      <xdr:col>5</xdr:col>
      <xdr:colOff>3175</xdr:colOff>
      <xdr:row>15</xdr:row>
      <xdr:rowOff>69218</xdr:rowOff>
    </xdr:to>
    <xdr:pic>
      <xdr:nvPicPr>
        <xdr:cNvPr id="7" name="Picture 6">
          <a:extLst>
            <a:ext uri="{FF2B5EF4-FFF2-40B4-BE49-F238E27FC236}">
              <a16:creationId xmlns:a16="http://schemas.microsoft.com/office/drawing/2014/main" id="{2DBE4824-6C9D-836D-3F28-C729642BE9A7}"/>
            </a:ext>
          </a:extLst>
        </xdr:cNvPr>
        <xdr:cNvPicPr>
          <a:picLocks noChangeAspect="1"/>
        </xdr:cNvPicPr>
      </xdr:nvPicPr>
      <xdr:blipFill>
        <a:blip xmlns:r="http://schemas.openxmlformats.org/officeDocument/2006/relationships" r:embed="rId2"/>
        <a:stretch>
          <a:fillRect/>
        </a:stretch>
      </xdr:blipFill>
      <xdr:spPr>
        <a:xfrm>
          <a:off x="5549488" y="3267075"/>
          <a:ext cx="6518687" cy="2660018"/>
        </a:xfrm>
        <a:prstGeom prst="rect">
          <a:avLst/>
        </a:prstGeom>
      </xdr:spPr>
    </xdr:pic>
    <xdr:clientData/>
  </xdr:twoCellAnchor>
  <xdr:twoCellAnchor editAs="oneCell">
    <xdr:from>
      <xdr:col>3</xdr:col>
      <xdr:colOff>542925</xdr:colOff>
      <xdr:row>17</xdr:row>
      <xdr:rowOff>95251</xdr:rowOff>
    </xdr:from>
    <xdr:to>
      <xdr:col>4</xdr:col>
      <xdr:colOff>5791200</xdr:colOff>
      <xdr:row>25</xdr:row>
      <xdr:rowOff>141317</xdr:rowOff>
    </xdr:to>
    <xdr:pic>
      <xdr:nvPicPr>
        <xdr:cNvPr id="8" name="Picture 7">
          <a:extLst>
            <a:ext uri="{FF2B5EF4-FFF2-40B4-BE49-F238E27FC236}">
              <a16:creationId xmlns:a16="http://schemas.microsoft.com/office/drawing/2014/main" id="{CB29A4D4-93A4-5E24-70D1-EAD6501A45A0}"/>
            </a:ext>
          </a:extLst>
        </xdr:cNvPr>
        <xdr:cNvPicPr>
          <a:picLocks noChangeAspect="1"/>
        </xdr:cNvPicPr>
      </xdr:nvPicPr>
      <xdr:blipFill>
        <a:blip xmlns:r="http://schemas.openxmlformats.org/officeDocument/2006/relationships" r:embed="rId3"/>
        <a:stretch>
          <a:fillRect/>
        </a:stretch>
      </xdr:blipFill>
      <xdr:spPr>
        <a:xfrm>
          <a:off x="5705475" y="6334126"/>
          <a:ext cx="5857875" cy="2598766"/>
        </a:xfrm>
        <a:prstGeom prst="rect">
          <a:avLst/>
        </a:prstGeom>
      </xdr:spPr>
    </xdr:pic>
    <xdr:clientData/>
  </xdr:twoCellAnchor>
  <xdr:twoCellAnchor>
    <xdr:from>
      <xdr:col>4</xdr:col>
      <xdr:colOff>69937</xdr:colOff>
      <xdr:row>26</xdr:row>
      <xdr:rowOff>176212</xdr:rowOff>
    </xdr:from>
    <xdr:to>
      <xdr:col>4</xdr:col>
      <xdr:colOff>5353050</xdr:colOff>
      <xdr:row>28</xdr:row>
      <xdr:rowOff>57150</xdr:rowOff>
    </xdr:to>
    <xdr:sp macro="" textlink="">
      <xdr:nvSpPr>
        <xdr:cNvPr id="9" name="TextBox 8">
          <a:extLst>
            <a:ext uri="{FF2B5EF4-FFF2-40B4-BE49-F238E27FC236}">
              <a16:creationId xmlns:a16="http://schemas.microsoft.com/office/drawing/2014/main" id="{E4E7800D-FA8F-4C01-BA64-97A7E417CAAB}"/>
            </a:ext>
          </a:extLst>
        </xdr:cNvPr>
        <xdr:cNvSpPr txBox="1"/>
      </xdr:nvSpPr>
      <xdr:spPr>
        <a:xfrm>
          <a:off x="5842087" y="8986837"/>
          <a:ext cx="5283113" cy="2619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b="0" i="0" u="none" strike="noStrike" baseline="0">
              <a:solidFill>
                <a:schemeClr val="dk1"/>
              </a:solidFill>
              <a:latin typeface="+mn-lt"/>
              <a:ea typeface="+mn-ea"/>
              <a:cs typeface="+mn-cs"/>
            </a:rPr>
            <a:t>Where electrical services support system (cable tray) restraint is and is not needed. </a:t>
          </a:r>
          <a:endParaRPr lang="en-NZ" sz="1100" kern="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400050</xdr:colOff>
      <xdr:row>1</xdr:row>
      <xdr:rowOff>28575</xdr:rowOff>
    </xdr:from>
    <xdr:to>
      <xdr:col>1</xdr:col>
      <xdr:colOff>400050</xdr:colOff>
      <xdr:row>4</xdr:row>
      <xdr:rowOff>161925</xdr:rowOff>
    </xdr:to>
    <xdr:cxnSp macro="">
      <xdr:nvCxnSpPr>
        <xdr:cNvPr id="3" name="Straight Arrow Connector 2">
          <a:extLst>
            <a:ext uri="{FF2B5EF4-FFF2-40B4-BE49-F238E27FC236}">
              <a16:creationId xmlns:a16="http://schemas.microsoft.com/office/drawing/2014/main" id="{1A82E8E8-A64A-9858-7866-565FA5EA8410}"/>
            </a:ext>
          </a:extLst>
        </xdr:cNvPr>
        <xdr:cNvCxnSpPr/>
      </xdr:nvCxnSpPr>
      <xdr:spPr>
        <a:xfrm>
          <a:off x="1485900" y="219075"/>
          <a:ext cx="0" cy="7048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51EAF-278D-4B62-B6A0-B3280BEECEBD}">
  <sheetPr codeName="Sheet1">
    <pageSetUpPr fitToPage="1"/>
  </sheetPr>
  <dimension ref="A1:J28"/>
  <sheetViews>
    <sheetView topLeftCell="A3" zoomScaleNormal="100" workbookViewId="0">
      <selection activeCell="B28" sqref="B28"/>
    </sheetView>
  </sheetViews>
  <sheetFormatPr defaultRowHeight="15" x14ac:dyDescent="0.25"/>
  <cols>
    <col min="1" max="1" width="16.140625" customWidth="1"/>
    <col min="2" max="2" width="21.140625" customWidth="1"/>
    <col min="10" max="10" width="43.85546875" bestFit="1" customWidth="1"/>
  </cols>
  <sheetData>
    <row r="1" spans="1:10" x14ac:dyDescent="0.25">
      <c r="A1" s="2" t="s">
        <v>130</v>
      </c>
    </row>
    <row r="3" spans="1:10" ht="29.25" customHeight="1" x14ac:dyDescent="0.25">
      <c r="A3" s="67" t="s">
        <v>133</v>
      </c>
      <c r="B3" s="67"/>
      <c r="C3" s="67"/>
      <c r="D3" s="67"/>
      <c r="E3" s="67"/>
      <c r="F3" s="67"/>
      <c r="G3" s="67"/>
      <c r="H3" s="67"/>
      <c r="I3" s="67"/>
      <c r="J3" s="67"/>
    </row>
    <row r="5" spans="1:10" x14ac:dyDescent="0.25">
      <c r="A5" t="s">
        <v>137</v>
      </c>
    </row>
    <row r="8" spans="1:10" x14ac:dyDescent="0.25">
      <c r="A8" t="s">
        <v>138</v>
      </c>
    </row>
    <row r="12" spans="1:10" x14ac:dyDescent="0.25">
      <c r="J12" t="s">
        <v>131</v>
      </c>
    </row>
    <row r="15" spans="1:10" x14ac:dyDescent="0.25">
      <c r="J15" t="s">
        <v>140</v>
      </c>
    </row>
    <row r="18" spans="1:10" x14ac:dyDescent="0.25">
      <c r="A18" s="68" t="s">
        <v>132</v>
      </c>
      <c r="B18" s="68"/>
    </row>
    <row r="21" spans="1:10" x14ac:dyDescent="0.25">
      <c r="J21" t="s">
        <v>139</v>
      </c>
    </row>
    <row r="25" spans="1:10" x14ac:dyDescent="0.25">
      <c r="A25" s="50" t="s">
        <v>136</v>
      </c>
    </row>
    <row r="26" spans="1:10" x14ac:dyDescent="0.25">
      <c r="A26" t="s">
        <v>134</v>
      </c>
    </row>
    <row r="27" spans="1:10" x14ac:dyDescent="0.25">
      <c r="A27" t="s">
        <v>135</v>
      </c>
    </row>
    <row r="28" spans="1:10" x14ac:dyDescent="0.25">
      <c r="A28" t="s">
        <v>165</v>
      </c>
      <c r="B28" t="s">
        <v>166</v>
      </c>
    </row>
  </sheetData>
  <mergeCells count="2">
    <mergeCell ref="A3:J3"/>
    <mergeCell ref="A18:B18"/>
  </mergeCells>
  <pageMargins left="0.7" right="0.7" top="0.75" bottom="0.75" header="0.3" footer="0.3"/>
  <pageSetup paperSize="9" scale="92" orientation="landscape" r:id="rId1"/>
  <headerFooter>
    <oddHeader>&amp;R&amp;G</oddHeader>
    <oddFooter>&amp;L&amp;"-,Bold"&amp;8&amp;F: &amp;A&amp;"-,Regular"
Guideline, Filing location: BIM&amp;C&amp;8Page &amp;P of &amp;N
&amp;R&amp;"-,Bold"&amp;8Rev 1.0&amp;"-,Regular"
Owner: Group Manager - Digital</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42A14-5678-4D84-B249-73854C6E7151}">
  <sheetPr codeName="Sheet2">
    <pageSetUpPr fitToPage="1"/>
  </sheetPr>
  <dimension ref="A1:AM81"/>
  <sheetViews>
    <sheetView zoomScale="70" zoomScaleNormal="70" workbookViewId="0">
      <pane ySplit="1" topLeftCell="A11" activePane="bottomLeft" state="frozen"/>
      <selection activeCell="E32" sqref="E32"/>
      <selection pane="bottomLeft" activeCell="U28" sqref="U28"/>
    </sheetView>
  </sheetViews>
  <sheetFormatPr defaultRowHeight="15" x14ac:dyDescent="0.25"/>
  <cols>
    <col min="1" max="1" width="21.28515625" style="10" customWidth="1"/>
    <col min="2" max="2" width="4.28515625" style="42" customWidth="1"/>
    <col min="3" max="4" width="4.28515625" bestFit="1" customWidth="1"/>
    <col min="5" max="7" width="5" bestFit="1" customWidth="1"/>
    <col min="8" max="8" width="7.140625" bestFit="1" customWidth="1"/>
    <col min="9" max="11" width="5" bestFit="1" customWidth="1"/>
    <col min="12" max="12" width="6.28515625" bestFit="1" customWidth="1"/>
    <col min="13" max="14" width="9.28515625" bestFit="1" customWidth="1"/>
    <col min="15" max="15" width="9.28515625" customWidth="1"/>
    <col min="16" max="16" width="9.28515625" bestFit="1" customWidth="1"/>
    <col min="17" max="17" width="6.28515625" bestFit="1" customWidth="1"/>
    <col min="18" max="18" width="9.28515625" bestFit="1" customWidth="1"/>
    <col min="19" max="19" width="6.28515625" bestFit="1" customWidth="1"/>
    <col min="20" max="23" width="9.28515625" bestFit="1" customWidth="1"/>
    <col min="24" max="24" width="6.28515625" bestFit="1" customWidth="1"/>
    <col min="25" max="37" width="9.28515625" bestFit="1" customWidth="1"/>
    <col min="38" max="38" width="9.28515625" customWidth="1"/>
    <col min="39" max="39" width="9.28515625" bestFit="1" customWidth="1"/>
  </cols>
  <sheetData>
    <row r="1" spans="1:39" ht="188.45" customHeight="1" x14ac:dyDescent="0.25">
      <c r="A1" s="16" t="s">
        <v>63</v>
      </c>
      <c r="B1" s="65" t="s">
        <v>64</v>
      </c>
      <c r="C1" s="63" t="str">
        <f>A2</f>
        <v>ARC_Columns*</v>
      </c>
      <c r="D1" s="64" t="str">
        <f>A4</f>
        <v>ARC_Ceiling</v>
      </c>
      <c r="E1" s="64" t="str">
        <f>A6</f>
        <v>ARC_Doors*</v>
      </c>
      <c r="F1" s="64" t="str">
        <f>A8</f>
        <v>ARC_Gen Model &amp; Casework*</v>
      </c>
      <c r="G1" s="64" t="str">
        <f>A10</f>
        <v>ARC_Roof</v>
      </c>
      <c r="H1" s="64" t="str">
        <f>A12</f>
        <v>ARC_Fire &amp; Acoustic Wall</v>
      </c>
      <c r="I1" s="64" t="str">
        <f>A14</f>
        <v>ARC_Windows</v>
      </c>
      <c r="J1" s="64" t="str">
        <f>A16</f>
        <v>ARC_Services Walkway</v>
      </c>
      <c r="K1" s="64" t="str">
        <f>A18</f>
        <v>ARC_Accessible Path</v>
      </c>
      <c r="L1" s="64" t="str">
        <f>A20</f>
        <v>SRV_Access Panel</v>
      </c>
      <c r="M1" s="64" t="str">
        <f>A22</f>
        <v>ARC_Lighting Fixtures</v>
      </c>
      <c r="N1" s="64" t="str">
        <f>A24</f>
        <v>ARC_Plumbing Fixtures</v>
      </c>
      <c r="O1" s="64" t="str">
        <f>'Item Categories'!C14</f>
        <v>ARC_SOG Floor Insulation</v>
      </c>
      <c r="P1" s="64" t="str">
        <f>A28</f>
        <v>STR_Seismic Elements</v>
      </c>
      <c r="Q1" s="64" t="str">
        <f>A30</f>
        <v>STR_Conc work Excl Floor Slab</v>
      </c>
      <c r="R1" s="64" t="str">
        <f>A32</f>
        <v>STR_Steelwork (Bracing and Columns)</v>
      </c>
      <c r="S1" s="64" t="str">
        <f>A34</f>
        <v>STR Floor</v>
      </c>
      <c r="T1" s="64" t="str">
        <f>A36</f>
        <v>HYD_Uninsulated Pipes and Acc</v>
      </c>
      <c r="U1" s="64" t="str">
        <f>A38</f>
        <v>HYD_Pipe Insulation</v>
      </c>
      <c r="V1" s="64" t="str">
        <f>A40</f>
        <v>HYD_Uninsulated Hot and Cold Pipes and Acc</v>
      </c>
      <c r="W1" s="64" t="str">
        <f>A42</f>
        <v>HYD_Hot and Cold Insulation</v>
      </c>
      <c r="X1" s="64" t="str">
        <f>'Item Categories'!D23</f>
        <v>HYD_Plumbing Fixture</v>
      </c>
      <c r="Y1" s="64" t="str">
        <f>'Item Categories'!C24</f>
        <v>MEC_Air Terminals</v>
      </c>
      <c r="Z1" s="64" t="str">
        <f>'Item Categories'!C25</f>
        <v>MEC_Uninsulated Duct and Acc</v>
      </c>
      <c r="AA1" s="64" t="str">
        <f>'Item Categories'!C26</f>
        <v>MEC_Duct Insulation</v>
      </c>
      <c r="AB1" s="64" t="str">
        <f>'Item Categories'!C27</f>
        <v>MEC_Pipe Insulation</v>
      </c>
      <c r="AC1" s="64" t="str">
        <f>'Item Categories'!C28</f>
        <v>MEC_Uninsulated Pipes and Acc</v>
      </c>
      <c r="AD1" s="64" t="str">
        <f>'Item Categories'!C29</f>
        <v>MEC_Uninulated Flexi duct</v>
      </c>
      <c r="AE1" s="64" t="str">
        <f>'Item Categories'!C30</f>
        <v>MEC_Equipment</v>
      </c>
      <c r="AF1" s="64" t="str">
        <f>'Item Categories'!C31</f>
        <v>ELE_Cable Tray and Fittings</v>
      </c>
      <c r="AG1" s="64" t="str">
        <f>'Item Categories'!C32</f>
        <v>ELE_Conduit*</v>
      </c>
      <c r="AH1" s="64" t="str">
        <f>'Item Categories'!C33</f>
        <v>ELE_Electrical Equip.</v>
      </c>
      <c r="AI1" s="64" t="str">
        <f>'Item Categories'!C34</f>
        <v>ELE_Small Devices</v>
      </c>
      <c r="AJ1" s="64" t="str">
        <f>'Item Categories'!C35</f>
        <v>ELE_Services Lighting Fixtures</v>
      </c>
      <c r="AK1" s="64" t="str">
        <f>'Item Categories'!C36</f>
        <v>FIR_Fire Pipes</v>
      </c>
      <c r="AL1" s="64" t="str">
        <f>'Item Categories'!C37</f>
        <v>FIR_Sprinklers Heads</v>
      </c>
      <c r="AM1" s="64" t="str">
        <f>'Item Categories'!C38</f>
        <v>FIR_Heat or Smoke Detectors</v>
      </c>
    </row>
    <row r="2" spans="1:39" ht="15" customHeight="1" x14ac:dyDescent="0.25">
      <c r="A2" s="69" t="str">
        <f>'Item Categories'!C2</f>
        <v>ARC_Columns*</v>
      </c>
      <c r="B2" s="70"/>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4"/>
    </row>
    <row r="3" spans="1:39" x14ac:dyDescent="0.25">
      <c r="A3" s="71"/>
      <c r="B3" s="72"/>
      <c r="C3" s="43"/>
      <c r="D3" s="52"/>
      <c r="E3" s="52"/>
      <c r="F3" s="52"/>
      <c r="G3" s="52"/>
      <c r="H3" s="52"/>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44"/>
    </row>
    <row r="4" spans="1:39" x14ac:dyDescent="0.25">
      <c r="A4" s="69" t="str">
        <f>'Item Categories'!C3</f>
        <v>ARC_Ceiling</v>
      </c>
      <c r="B4" s="70"/>
      <c r="C4" s="30"/>
      <c r="D4" s="43"/>
      <c r="E4" s="26" t="s">
        <v>122</v>
      </c>
      <c r="F4" s="43"/>
      <c r="G4" s="43"/>
      <c r="H4" s="26" t="s">
        <v>122</v>
      </c>
      <c r="I4" s="43"/>
      <c r="J4" s="43"/>
      <c r="K4" s="43"/>
      <c r="L4" s="43"/>
      <c r="M4" s="43"/>
      <c r="N4" s="43"/>
      <c r="O4" s="43"/>
      <c r="P4" s="43"/>
      <c r="Q4" s="43"/>
      <c r="R4" s="43"/>
      <c r="S4" s="43"/>
      <c r="T4" s="26" t="s">
        <v>122</v>
      </c>
      <c r="U4" s="26" t="s">
        <v>122</v>
      </c>
      <c r="V4" s="26" t="s">
        <v>122</v>
      </c>
      <c r="W4" s="26" t="s">
        <v>122</v>
      </c>
      <c r="X4" s="26" t="s">
        <v>122</v>
      </c>
      <c r="Y4" s="43"/>
      <c r="Z4" s="26" t="s">
        <v>122</v>
      </c>
      <c r="AA4" s="26" t="s">
        <v>122</v>
      </c>
      <c r="AB4" s="26" t="s">
        <v>122</v>
      </c>
      <c r="AC4" s="26" t="s">
        <v>122</v>
      </c>
      <c r="AD4" s="26" t="s">
        <v>122</v>
      </c>
      <c r="AE4" s="26" t="s">
        <v>122</v>
      </c>
      <c r="AF4" s="26" t="s">
        <v>122</v>
      </c>
      <c r="AG4" s="26" t="s">
        <v>122</v>
      </c>
      <c r="AH4" s="26" t="s">
        <v>122</v>
      </c>
      <c r="AI4" s="26" t="s">
        <v>122</v>
      </c>
      <c r="AJ4" s="43"/>
      <c r="AK4" s="26" t="s">
        <v>122</v>
      </c>
      <c r="AL4" s="43"/>
      <c r="AM4" s="44"/>
    </row>
    <row r="5" spans="1:39" x14ac:dyDescent="0.25">
      <c r="A5" s="71"/>
      <c r="B5" s="72"/>
      <c r="C5" s="30"/>
      <c r="D5" s="43"/>
      <c r="E5" s="28" t="s">
        <v>65</v>
      </c>
      <c r="F5" s="43"/>
      <c r="G5" s="44"/>
      <c r="H5" s="28" t="s">
        <v>65</v>
      </c>
      <c r="I5" s="43"/>
      <c r="J5" s="43"/>
      <c r="K5" s="44"/>
      <c r="L5" s="44"/>
      <c r="M5" s="44"/>
      <c r="N5" s="44"/>
      <c r="O5" s="44"/>
      <c r="P5" s="44"/>
      <c r="Q5" s="44"/>
      <c r="R5" s="44"/>
      <c r="S5" s="44"/>
      <c r="T5" s="26" t="s">
        <v>150</v>
      </c>
      <c r="U5" s="26" t="s">
        <v>150</v>
      </c>
      <c r="V5" s="26" t="s">
        <v>150</v>
      </c>
      <c r="W5" s="26" t="s">
        <v>150</v>
      </c>
      <c r="X5" s="26" t="s">
        <v>150</v>
      </c>
      <c r="Y5" s="44"/>
      <c r="Z5" s="26" t="s">
        <v>150</v>
      </c>
      <c r="AA5" s="26" t="s">
        <v>150</v>
      </c>
      <c r="AB5" s="26" t="s">
        <v>150</v>
      </c>
      <c r="AC5" s="26" t="s">
        <v>150</v>
      </c>
      <c r="AD5" s="26" t="s">
        <v>150</v>
      </c>
      <c r="AE5" s="26" t="s">
        <v>150</v>
      </c>
      <c r="AF5" s="26" t="s">
        <v>150</v>
      </c>
      <c r="AG5" s="26" t="s">
        <v>150</v>
      </c>
      <c r="AH5" s="26" t="s">
        <v>150</v>
      </c>
      <c r="AI5" s="26" t="s">
        <v>150</v>
      </c>
      <c r="AJ5" s="44"/>
      <c r="AK5" s="26" t="s">
        <v>150</v>
      </c>
      <c r="AL5" s="44"/>
      <c r="AM5" s="44"/>
    </row>
    <row r="6" spans="1:39" x14ac:dyDescent="0.25">
      <c r="A6" s="69" t="str">
        <f>'Item Categories'!C4</f>
        <v>ARC_Doors*</v>
      </c>
      <c r="B6" s="70"/>
      <c r="C6" s="30"/>
      <c r="D6" s="26"/>
      <c r="E6" s="43"/>
      <c r="F6" s="43"/>
      <c r="G6" s="43"/>
      <c r="H6" s="43"/>
      <c r="I6" s="43"/>
      <c r="J6" s="26" t="s">
        <v>123</v>
      </c>
      <c r="K6" s="44"/>
      <c r="L6" s="44"/>
      <c r="M6" s="43"/>
      <c r="N6" s="43"/>
      <c r="O6" s="43"/>
      <c r="P6" s="43"/>
      <c r="Q6" s="26" t="s">
        <v>122</v>
      </c>
      <c r="R6" s="26" t="s">
        <v>122</v>
      </c>
      <c r="S6" s="26" t="s">
        <v>122</v>
      </c>
      <c r="T6" s="43"/>
      <c r="U6" s="43"/>
      <c r="V6" s="43"/>
      <c r="W6" s="43"/>
      <c r="X6" s="44"/>
      <c r="Y6" s="26" t="s">
        <v>122</v>
      </c>
      <c r="Z6" s="43"/>
      <c r="AA6" s="43"/>
      <c r="AB6" s="43"/>
      <c r="AC6" s="43"/>
      <c r="AD6" s="43"/>
      <c r="AE6" s="26" t="s">
        <v>122</v>
      </c>
      <c r="AF6" s="43"/>
      <c r="AG6" s="43"/>
      <c r="AH6" s="26" t="s">
        <v>123</v>
      </c>
      <c r="AI6" s="43"/>
      <c r="AJ6" s="43"/>
      <c r="AK6" s="43"/>
      <c r="AL6" s="43"/>
      <c r="AM6" s="44"/>
    </row>
    <row r="7" spans="1:39" x14ac:dyDescent="0.25">
      <c r="A7" s="71"/>
      <c r="B7" s="72"/>
      <c r="C7" s="30"/>
      <c r="D7" s="28"/>
      <c r="E7" s="44"/>
      <c r="F7" s="44"/>
      <c r="G7" s="44"/>
      <c r="H7" s="44"/>
      <c r="I7" s="44"/>
      <c r="J7" s="28" t="s">
        <v>65</v>
      </c>
      <c r="K7" s="44"/>
      <c r="L7" s="44"/>
      <c r="M7" s="44"/>
      <c r="N7" s="44"/>
      <c r="O7" s="44"/>
      <c r="P7" s="44"/>
      <c r="Q7" s="28" t="s">
        <v>65</v>
      </c>
      <c r="R7" s="28" t="s">
        <v>65</v>
      </c>
      <c r="S7" s="28" t="s">
        <v>65</v>
      </c>
      <c r="T7" s="44"/>
      <c r="U7" s="44"/>
      <c r="V7" s="44"/>
      <c r="W7" s="44"/>
      <c r="X7" s="44"/>
      <c r="Y7" s="26" t="s">
        <v>66</v>
      </c>
      <c r="Z7" s="44"/>
      <c r="AA7" s="44"/>
      <c r="AB7" s="44"/>
      <c r="AC7" s="44"/>
      <c r="AD7" s="44"/>
      <c r="AE7" s="26" t="s">
        <v>66</v>
      </c>
      <c r="AF7" s="44"/>
      <c r="AG7" s="44"/>
      <c r="AH7" s="28" t="s">
        <v>65</v>
      </c>
      <c r="AI7" s="44"/>
      <c r="AJ7" s="44"/>
      <c r="AK7" s="44"/>
      <c r="AL7" s="44"/>
      <c r="AM7" s="44"/>
    </row>
    <row r="8" spans="1:39" ht="15" customHeight="1" x14ac:dyDescent="0.25">
      <c r="A8" s="69" t="str">
        <f>'Item Categories'!C5</f>
        <v>ARC_Gen Model &amp; Casework*</v>
      </c>
      <c r="B8" s="70"/>
      <c r="C8" s="30"/>
      <c r="D8" s="30"/>
      <c r="E8" s="30"/>
      <c r="F8" s="44"/>
      <c r="G8" s="44"/>
      <c r="H8" s="26" t="s">
        <v>124</v>
      </c>
      <c r="I8" s="26" t="s">
        <v>124</v>
      </c>
      <c r="J8" s="26" t="s">
        <v>124</v>
      </c>
      <c r="K8" s="44"/>
      <c r="L8" s="26" t="s">
        <v>124</v>
      </c>
      <c r="M8" s="43"/>
      <c r="N8" s="26" t="s">
        <v>124</v>
      </c>
      <c r="O8" s="44"/>
      <c r="P8" s="26" t="s">
        <v>124</v>
      </c>
      <c r="Q8" s="26" t="s">
        <v>124</v>
      </c>
      <c r="R8" s="26" t="s">
        <v>124</v>
      </c>
      <c r="S8" s="26" t="s">
        <v>124</v>
      </c>
      <c r="T8" s="26" t="s">
        <v>124</v>
      </c>
      <c r="U8" s="26" t="s">
        <v>124</v>
      </c>
      <c r="V8" s="26" t="s">
        <v>124</v>
      </c>
      <c r="W8" s="26" t="s">
        <v>124</v>
      </c>
      <c r="X8" s="26" t="s">
        <v>124</v>
      </c>
      <c r="Y8" s="26" t="s">
        <v>124</v>
      </c>
      <c r="Z8" s="26" t="s">
        <v>124</v>
      </c>
      <c r="AA8" s="26" t="s">
        <v>124</v>
      </c>
      <c r="AB8" s="26" t="s">
        <v>124</v>
      </c>
      <c r="AC8" s="26" t="s">
        <v>124</v>
      </c>
      <c r="AD8" s="26" t="s">
        <v>124</v>
      </c>
      <c r="AE8" s="26" t="s">
        <v>124</v>
      </c>
      <c r="AF8" s="26" t="s">
        <v>124</v>
      </c>
      <c r="AG8" s="26" t="s">
        <v>124</v>
      </c>
      <c r="AH8" s="26" t="s">
        <v>124</v>
      </c>
      <c r="AI8" s="26" t="s">
        <v>124</v>
      </c>
      <c r="AJ8" s="26" t="s">
        <v>124</v>
      </c>
      <c r="AK8" s="26" t="s">
        <v>124</v>
      </c>
      <c r="AL8" s="44"/>
      <c r="AM8" s="44"/>
    </row>
    <row r="9" spans="1:39" x14ac:dyDescent="0.25">
      <c r="A9" s="71"/>
      <c r="B9" s="72"/>
      <c r="C9" s="30"/>
      <c r="D9" s="30"/>
      <c r="E9" s="30"/>
      <c r="F9" s="44"/>
      <c r="G9" s="44"/>
      <c r="H9" s="28" t="s">
        <v>65</v>
      </c>
      <c r="I9" s="28" t="s">
        <v>65</v>
      </c>
      <c r="J9" s="28" t="s">
        <v>65</v>
      </c>
      <c r="K9" s="44"/>
      <c r="L9" s="28" t="s">
        <v>65</v>
      </c>
      <c r="M9" s="44"/>
      <c r="N9" s="28" t="s">
        <v>65</v>
      </c>
      <c r="O9" s="44"/>
      <c r="P9" s="28" t="s">
        <v>65</v>
      </c>
      <c r="Q9" s="28" t="s">
        <v>65</v>
      </c>
      <c r="R9" s="28" t="s">
        <v>65</v>
      </c>
      <c r="S9" s="28" t="s">
        <v>65</v>
      </c>
      <c r="T9" s="28" t="s">
        <v>65</v>
      </c>
      <c r="U9" s="28" t="s">
        <v>65</v>
      </c>
      <c r="V9" s="28" t="s">
        <v>65</v>
      </c>
      <c r="W9" s="28" t="s">
        <v>65</v>
      </c>
      <c r="X9" s="28" t="s">
        <v>65</v>
      </c>
      <c r="Y9" s="28" t="s">
        <v>65</v>
      </c>
      <c r="Z9" s="28" t="s">
        <v>65</v>
      </c>
      <c r="AA9" s="28" t="s">
        <v>65</v>
      </c>
      <c r="AB9" s="28" t="s">
        <v>65</v>
      </c>
      <c r="AC9" s="28" t="s">
        <v>65</v>
      </c>
      <c r="AD9" s="28" t="s">
        <v>65</v>
      </c>
      <c r="AE9" s="28" t="s">
        <v>65</v>
      </c>
      <c r="AF9" s="28" t="s">
        <v>65</v>
      </c>
      <c r="AG9" s="28" t="s">
        <v>65</v>
      </c>
      <c r="AH9" s="28" t="s">
        <v>65</v>
      </c>
      <c r="AI9" s="28" t="s">
        <v>65</v>
      </c>
      <c r="AJ9" s="28" t="s">
        <v>65</v>
      </c>
      <c r="AK9" s="28" t="s">
        <v>65</v>
      </c>
      <c r="AL9" s="44"/>
      <c r="AM9" s="44"/>
    </row>
    <row r="10" spans="1:39" x14ac:dyDescent="0.25">
      <c r="A10" s="69" t="str">
        <f>'Item Categories'!C6</f>
        <v>ARC_Roof</v>
      </c>
      <c r="B10" s="70"/>
      <c r="C10" s="30"/>
      <c r="D10" s="26"/>
      <c r="E10" s="26"/>
      <c r="F10" s="26"/>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row>
    <row r="11" spans="1:39" x14ac:dyDescent="0.25">
      <c r="A11" s="71"/>
      <c r="B11" s="72"/>
      <c r="C11" s="30"/>
      <c r="D11" s="26"/>
      <c r="E11" s="26"/>
      <c r="F11" s="26"/>
      <c r="G11" s="44"/>
      <c r="H11" s="44"/>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row>
    <row r="12" spans="1:39" ht="15" customHeight="1" x14ac:dyDescent="0.25">
      <c r="A12" s="69" t="str">
        <f>'Item Categories'!C7</f>
        <v>ARC_Fire &amp; Acoustic Wall</v>
      </c>
      <c r="B12" s="70"/>
      <c r="C12" s="30"/>
      <c r="D12" s="26"/>
      <c r="E12" s="26"/>
      <c r="F12" s="26"/>
      <c r="G12" s="26"/>
      <c r="H12" s="44"/>
      <c r="I12" s="44"/>
      <c r="J12" s="44"/>
      <c r="K12" s="44"/>
      <c r="L12" s="26" t="s">
        <v>122</v>
      </c>
      <c r="M12" s="43"/>
      <c r="N12" s="43"/>
      <c r="O12" s="43"/>
      <c r="P12" s="26" t="s">
        <v>122</v>
      </c>
      <c r="Q12" s="26" t="s">
        <v>122</v>
      </c>
      <c r="R12" s="26" t="s">
        <v>122</v>
      </c>
      <c r="S12" s="26" t="s">
        <v>122</v>
      </c>
      <c r="T12" s="26" t="s">
        <v>122</v>
      </c>
      <c r="U12" s="26" t="s">
        <v>122</v>
      </c>
      <c r="V12" s="26" t="s">
        <v>122</v>
      </c>
      <c r="W12" s="26" t="s">
        <v>122</v>
      </c>
      <c r="X12" s="26" t="s">
        <v>122</v>
      </c>
      <c r="Y12" s="44"/>
      <c r="Z12" s="26" t="s">
        <v>122</v>
      </c>
      <c r="AA12" s="26" t="s">
        <v>122</v>
      </c>
      <c r="AB12" s="26" t="s">
        <v>122</v>
      </c>
      <c r="AC12" s="26" t="s">
        <v>122</v>
      </c>
      <c r="AD12" s="26" t="s">
        <v>122</v>
      </c>
      <c r="AE12" s="26" t="s">
        <v>122</v>
      </c>
      <c r="AF12" s="26" t="s">
        <v>122</v>
      </c>
      <c r="AG12" s="26" t="s">
        <v>122</v>
      </c>
      <c r="AH12" s="26" t="s">
        <v>122</v>
      </c>
      <c r="AI12" s="44"/>
      <c r="AJ12" s="26" t="s">
        <v>122</v>
      </c>
      <c r="AK12" s="26" t="s">
        <v>122</v>
      </c>
      <c r="AL12" s="44"/>
      <c r="AM12" s="44"/>
    </row>
    <row r="13" spans="1:39" x14ac:dyDescent="0.25">
      <c r="A13" s="71"/>
      <c r="B13" s="72"/>
      <c r="C13" s="30"/>
      <c r="D13" s="26"/>
      <c r="E13" s="26"/>
      <c r="F13" s="26"/>
      <c r="G13" s="26"/>
      <c r="H13" s="44"/>
      <c r="I13" s="44"/>
      <c r="J13" s="44"/>
      <c r="K13" s="44"/>
      <c r="L13" s="26" t="s">
        <v>66</v>
      </c>
      <c r="M13" s="44"/>
      <c r="N13" s="44"/>
      <c r="O13" s="44"/>
      <c r="P13" s="28" t="s">
        <v>65</v>
      </c>
      <c r="Q13" s="28" t="s">
        <v>65</v>
      </c>
      <c r="R13" s="28" t="s">
        <v>65</v>
      </c>
      <c r="S13" s="28" t="s">
        <v>65</v>
      </c>
      <c r="T13" s="26" t="s">
        <v>66</v>
      </c>
      <c r="U13" s="26" t="s">
        <v>66</v>
      </c>
      <c r="V13" s="26" t="s">
        <v>66</v>
      </c>
      <c r="W13" s="26" t="s">
        <v>66</v>
      </c>
      <c r="X13" s="26" t="s">
        <v>66</v>
      </c>
      <c r="Y13" s="44"/>
      <c r="Z13" s="26" t="s">
        <v>66</v>
      </c>
      <c r="AA13" s="26" t="s">
        <v>66</v>
      </c>
      <c r="AB13" s="26" t="s">
        <v>66</v>
      </c>
      <c r="AC13" s="26" t="s">
        <v>66</v>
      </c>
      <c r="AD13" s="26" t="s">
        <v>66</v>
      </c>
      <c r="AE13" s="26" t="s">
        <v>66</v>
      </c>
      <c r="AF13" s="26" t="s">
        <v>66</v>
      </c>
      <c r="AG13" s="26" t="s">
        <v>66</v>
      </c>
      <c r="AH13" s="26" t="s">
        <v>66</v>
      </c>
      <c r="AI13" s="44"/>
      <c r="AJ13" s="26" t="s">
        <v>66</v>
      </c>
      <c r="AK13" s="26" t="s">
        <v>66</v>
      </c>
      <c r="AL13" s="44"/>
      <c r="AM13" s="44"/>
    </row>
    <row r="14" spans="1:39" x14ac:dyDescent="0.25">
      <c r="A14" s="69" t="str">
        <f>'Item Categories'!C8</f>
        <v>ARC_Windows</v>
      </c>
      <c r="B14" s="70"/>
      <c r="C14" s="30"/>
      <c r="D14" s="26"/>
      <c r="E14" s="26"/>
      <c r="F14" s="26"/>
      <c r="G14" s="26"/>
      <c r="H14" s="26"/>
      <c r="I14" s="44"/>
      <c r="J14" s="44"/>
      <c r="K14" s="44"/>
      <c r="L14" s="44"/>
      <c r="M14" s="44"/>
      <c r="N14" s="44"/>
      <c r="O14" s="44"/>
      <c r="P14" s="44"/>
      <c r="Q14" s="26" t="s">
        <v>122</v>
      </c>
      <c r="R14" s="26" t="s">
        <v>122</v>
      </c>
      <c r="S14" s="26" t="s">
        <v>122</v>
      </c>
      <c r="T14" s="44"/>
      <c r="U14" s="44"/>
      <c r="V14" s="44"/>
      <c r="W14" s="44"/>
      <c r="X14" s="44"/>
      <c r="Y14" s="44"/>
      <c r="Z14" s="44"/>
      <c r="AA14" s="44"/>
      <c r="AB14" s="44"/>
      <c r="AC14" s="44"/>
      <c r="AD14" s="44"/>
      <c r="AE14" s="44"/>
      <c r="AF14" s="44"/>
      <c r="AG14" s="44"/>
      <c r="AH14" s="44"/>
      <c r="AI14" s="44"/>
      <c r="AJ14" s="44"/>
      <c r="AK14" s="44"/>
      <c r="AL14" s="44"/>
      <c r="AM14" s="44"/>
    </row>
    <row r="15" spans="1:39" x14ac:dyDescent="0.25">
      <c r="A15" s="71"/>
      <c r="B15" s="72"/>
      <c r="C15" s="30"/>
      <c r="D15" s="26"/>
      <c r="E15" s="26"/>
      <c r="F15" s="26"/>
      <c r="G15" s="26"/>
      <c r="H15" s="26"/>
      <c r="I15" s="44"/>
      <c r="J15" s="44"/>
      <c r="K15" s="44"/>
      <c r="L15" s="44"/>
      <c r="M15" s="44"/>
      <c r="N15" s="44"/>
      <c r="O15" s="44"/>
      <c r="P15" s="44"/>
      <c r="Q15" s="28" t="s">
        <v>65</v>
      </c>
      <c r="R15" s="28" t="s">
        <v>65</v>
      </c>
      <c r="S15" s="28" t="s">
        <v>65</v>
      </c>
      <c r="T15" s="44"/>
      <c r="U15" s="44"/>
      <c r="V15" s="44"/>
      <c r="W15" s="44"/>
      <c r="X15" s="44"/>
      <c r="Y15" s="44"/>
      <c r="Z15" s="44"/>
      <c r="AA15" s="44"/>
      <c r="AB15" s="44"/>
      <c r="AC15" s="44"/>
      <c r="AD15" s="44"/>
      <c r="AE15" s="44"/>
      <c r="AF15" s="44"/>
      <c r="AG15" s="44"/>
      <c r="AH15" s="44"/>
      <c r="AI15" s="44"/>
      <c r="AJ15" s="44"/>
      <c r="AK15" s="44"/>
      <c r="AL15" s="44"/>
      <c r="AM15" s="44"/>
    </row>
    <row r="16" spans="1:39" x14ac:dyDescent="0.25">
      <c r="A16" s="69" t="str">
        <f>'Item Categories'!C9</f>
        <v>ARC_Services Walkway</v>
      </c>
      <c r="B16" s="70"/>
      <c r="C16" s="30"/>
      <c r="D16" s="26"/>
      <c r="E16" s="26"/>
      <c r="F16" s="26"/>
      <c r="G16" s="26"/>
      <c r="H16" s="26"/>
      <c r="I16" s="26"/>
      <c r="J16" s="44"/>
      <c r="K16" s="44"/>
      <c r="L16" s="26" t="s">
        <v>123</v>
      </c>
      <c r="M16" s="43"/>
      <c r="N16" s="26" t="s">
        <v>123</v>
      </c>
      <c r="O16" s="26" t="s">
        <v>123</v>
      </c>
      <c r="P16" s="26" t="s">
        <v>123</v>
      </c>
      <c r="Q16" s="26" t="s">
        <v>123</v>
      </c>
      <c r="R16" s="26" t="s">
        <v>123</v>
      </c>
      <c r="S16" s="26" t="s">
        <v>123</v>
      </c>
      <c r="T16" s="26" t="s">
        <v>123</v>
      </c>
      <c r="U16" s="26" t="s">
        <v>123</v>
      </c>
      <c r="V16" s="26" t="s">
        <v>123</v>
      </c>
      <c r="W16" s="26" t="s">
        <v>123</v>
      </c>
      <c r="X16" s="26" t="s">
        <v>123</v>
      </c>
      <c r="Y16" s="26" t="s">
        <v>123</v>
      </c>
      <c r="Z16" s="26" t="s">
        <v>123</v>
      </c>
      <c r="AA16" s="26" t="s">
        <v>123</v>
      </c>
      <c r="AB16" s="26" t="s">
        <v>123</v>
      </c>
      <c r="AC16" s="26" t="s">
        <v>123</v>
      </c>
      <c r="AD16" s="26" t="s">
        <v>123</v>
      </c>
      <c r="AE16" s="26" t="s">
        <v>123</v>
      </c>
      <c r="AF16" s="26" t="s">
        <v>123</v>
      </c>
      <c r="AG16" s="26" t="s">
        <v>123</v>
      </c>
      <c r="AH16" s="26" t="s">
        <v>123</v>
      </c>
      <c r="AI16" s="26" t="s">
        <v>123</v>
      </c>
      <c r="AJ16" s="26" t="s">
        <v>123</v>
      </c>
      <c r="AK16" s="26" t="s">
        <v>123</v>
      </c>
      <c r="AL16" s="26" t="s">
        <v>123</v>
      </c>
      <c r="AM16" s="26" t="s">
        <v>123</v>
      </c>
    </row>
    <row r="17" spans="1:39" x14ac:dyDescent="0.25">
      <c r="A17" s="71"/>
      <c r="B17" s="72"/>
      <c r="C17" s="30"/>
      <c r="D17" s="26"/>
      <c r="E17" s="26"/>
      <c r="F17" s="26"/>
      <c r="G17" s="26"/>
      <c r="H17" s="26"/>
      <c r="I17" s="26"/>
      <c r="J17" s="44"/>
      <c r="K17" s="44"/>
      <c r="L17" s="28" t="s">
        <v>65</v>
      </c>
      <c r="M17" s="44"/>
      <c r="N17" s="28" t="s">
        <v>65</v>
      </c>
      <c r="O17" s="28" t="s">
        <v>65</v>
      </c>
      <c r="P17" s="28" t="s">
        <v>65</v>
      </c>
      <c r="Q17" s="28" t="s">
        <v>65</v>
      </c>
      <c r="R17" s="28" t="s">
        <v>65</v>
      </c>
      <c r="S17" s="28" t="s">
        <v>65</v>
      </c>
      <c r="T17" s="28" t="s">
        <v>65</v>
      </c>
      <c r="U17" s="28" t="s">
        <v>65</v>
      </c>
      <c r="V17" s="28" t="s">
        <v>65</v>
      </c>
      <c r="W17" s="28" t="s">
        <v>65</v>
      </c>
      <c r="X17" s="28" t="s">
        <v>65</v>
      </c>
      <c r="Y17" s="28" t="s">
        <v>65</v>
      </c>
      <c r="Z17" s="28" t="s">
        <v>65</v>
      </c>
      <c r="AA17" s="28" t="s">
        <v>65</v>
      </c>
      <c r="AB17" s="28" t="s">
        <v>65</v>
      </c>
      <c r="AC17" s="28" t="s">
        <v>65</v>
      </c>
      <c r="AD17" s="28" t="s">
        <v>65</v>
      </c>
      <c r="AE17" s="28" t="s">
        <v>65</v>
      </c>
      <c r="AF17" s="28" t="s">
        <v>65</v>
      </c>
      <c r="AG17" s="28" t="s">
        <v>65</v>
      </c>
      <c r="AH17" s="28" t="s">
        <v>65</v>
      </c>
      <c r="AI17" s="28" t="s">
        <v>65</v>
      </c>
      <c r="AJ17" s="28" t="s">
        <v>65</v>
      </c>
      <c r="AK17" s="28" t="s">
        <v>65</v>
      </c>
      <c r="AL17" s="28" t="s">
        <v>65</v>
      </c>
      <c r="AM17" s="28" t="s">
        <v>65</v>
      </c>
    </row>
    <row r="18" spans="1:39" ht="15" customHeight="1" x14ac:dyDescent="0.25">
      <c r="A18" s="69" t="str">
        <f>'Item Categories'!C10</f>
        <v>ARC_Accessible Path</v>
      </c>
      <c r="B18" s="70"/>
      <c r="C18" s="30"/>
      <c r="D18" s="26"/>
      <c r="E18" s="26"/>
      <c r="F18" s="26"/>
      <c r="G18" s="26"/>
      <c r="H18" s="26"/>
      <c r="I18" s="26"/>
      <c r="J18" s="26"/>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44"/>
    </row>
    <row r="19" spans="1:39" x14ac:dyDescent="0.25">
      <c r="A19" s="71"/>
      <c r="B19" s="72"/>
      <c r="C19" s="30"/>
      <c r="D19" s="26"/>
      <c r="E19" s="26"/>
      <c r="F19" s="26"/>
      <c r="G19" s="26"/>
      <c r="H19" s="26"/>
      <c r="I19" s="26"/>
      <c r="J19" s="26"/>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row>
    <row r="20" spans="1:39" x14ac:dyDescent="0.25">
      <c r="A20" s="69" t="str">
        <f>'Item Categories'!C11</f>
        <v>SRV_Access Panel</v>
      </c>
      <c r="B20" s="70"/>
      <c r="C20" s="30"/>
      <c r="D20" s="26"/>
      <c r="E20" s="26"/>
      <c r="F20" s="26"/>
      <c r="G20" s="26"/>
      <c r="H20" s="26"/>
      <c r="I20" s="26"/>
      <c r="J20" s="26"/>
      <c r="K20" s="26"/>
      <c r="L20" s="44"/>
      <c r="M20" s="43"/>
      <c r="N20" s="26" t="s">
        <v>123</v>
      </c>
      <c r="O20" s="44"/>
      <c r="P20" s="26" t="s">
        <v>123</v>
      </c>
      <c r="Q20" s="44"/>
      <c r="R20" s="26" t="s">
        <v>123</v>
      </c>
      <c r="S20" s="44"/>
      <c r="T20" s="26" t="s">
        <v>123</v>
      </c>
      <c r="U20" s="26" t="s">
        <v>123</v>
      </c>
      <c r="V20" s="26" t="s">
        <v>123</v>
      </c>
      <c r="W20" s="26" t="s">
        <v>123</v>
      </c>
      <c r="X20" s="44"/>
      <c r="Y20" s="26" t="s">
        <v>123</v>
      </c>
      <c r="Z20" s="26" t="s">
        <v>123</v>
      </c>
      <c r="AA20" s="26" t="s">
        <v>123</v>
      </c>
      <c r="AB20" s="26" t="s">
        <v>123</v>
      </c>
      <c r="AC20" s="26" t="s">
        <v>123</v>
      </c>
      <c r="AD20" s="26" t="s">
        <v>123</v>
      </c>
      <c r="AE20" s="26" t="s">
        <v>123</v>
      </c>
      <c r="AF20" s="26" t="s">
        <v>123</v>
      </c>
      <c r="AG20" s="26" t="s">
        <v>123</v>
      </c>
      <c r="AH20" s="26" t="s">
        <v>123</v>
      </c>
      <c r="AI20" s="26" t="s">
        <v>123</v>
      </c>
      <c r="AJ20" s="26" t="s">
        <v>123</v>
      </c>
      <c r="AK20" s="26" t="s">
        <v>123</v>
      </c>
      <c r="AL20" s="44"/>
      <c r="AM20" s="44"/>
    </row>
    <row r="21" spans="1:39" x14ac:dyDescent="0.25">
      <c r="A21" s="71"/>
      <c r="B21" s="72"/>
      <c r="C21" s="30"/>
      <c r="D21" s="26"/>
      <c r="E21" s="26"/>
      <c r="F21" s="26"/>
      <c r="G21" s="26"/>
      <c r="H21" s="26"/>
      <c r="I21" s="26"/>
      <c r="J21" s="26"/>
      <c r="K21" s="26"/>
      <c r="L21" s="44"/>
      <c r="M21" s="44"/>
      <c r="N21" s="61" t="s">
        <v>155</v>
      </c>
      <c r="O21" s="44"/>
      <c r="P21" s="61" t="s">
        <v>155</v>
      </c>
      <c r="Q21" s="44"/>
      <c r="R21" s="61" t="s">
        <v>155</v>
      </c>
      <c r="S21" s="44"/>
      <c r="T21" s="61" t="s">
        <v>155</v>
      </c>
      <c r="U21" s="61" t="s">
        <v>155</v>
      </c>
      <c r="V21" s="61" t="s">
        <v>155</v>
      </c>
      <c r="W21" s="61" t="s">
        <v>155</v>
      </c>
      <c r="X21" s="44"/>
      <c r="Y21" s="61" t="s">
        <v>155</v>
      </c>
      <c r="Z21" s="61" t="s">
        <v>155</v>
      </c>
      <c r="AA21" s="61" t="s">
        <v>155</v>
      </c>
      <c r="AB21" s="61" t="s">
        <v>155</v>
      </c>
      <c r="AC21" s="61" t="s">
        <v>155</v>
      </c>
      <c r="AD21" s="61" t="s">
        <v>155</v>
      </c>
      <c r="AE21" s="61" t="s">
        <v>155</v>
      </c>
      <c r="AF21" s="61" t="s">
        <v>155</v>
      </c>
      <c r="AG21" s="61" t="s">
        <v>155</v>
      </c>
      <c r="AH21" s="61" t="s">
        <v>155</v>
      </c>
      <c r="AI21" s="61" t="s">
        <v>155</v>
      </c>
      <c r="AJ21" s="61" t="s">
        <v>155</v>
      </c>
      <c r="AK21" s="61" t="s">
        <v>155</v>
      </c>
      <c r="AL21" s="44"/>
      <c r="AM21" s="44"/>
    </row>
    <row r="22" spans="1:39" ht="15" customHeight="1" x14ac:dyDescent="0.25">
      <c r="A22" s="73" t="str">
        <f>'Item Categories'!C12</f>
        <v>ARC_Lighting Fixtures</v>
      </c>
      <c r="B22" s="74"/>
      <c r="C22" s="30"/>
      <c r="D22" s="26"/>
      <c r="E22" s="26"/>
      <c r="F22" s="26"/>
      <c r="G22" s="26"/>
      <c r="H22" s="26"/>
      <c r="I22" s="26"/>
      <c r="J22" s="26"/>
      <c r="K22" s="26"/>
      <c r="L22" s="26"/>
      <c r="M22" s="43"/>
      <c r="N22" s="44"/>
      <c r="O22" s="44"/>
      <c r="P22" s="44"/>
      <c r="Q22" s="44"/>
      <c r="R22" s="44"/>
      <c r="S22" s="44"/>
      <c r="T22" s="44"/>
      <c r="U22" s="44"/>
      <c r="V22" s="44"/>
      <c r="W22" s="44"/>
      <c r="X22" s="44"/>
      <c r="Y22" s="44"/>
      <c r="Z22" s="44"/>
      <c r="AA22" s="44"/>
      <c r="AB22" s="44"/>
      <c r="AC22" s="44"/>
      <c r="AD22" s="44"/>
      <c r="AE22" s="44"/>
      <c r="AF22" s="44"/>
      <c r="AG22" s="44"/>
      <c r="AH22" s="44"/>
      <c r="AI22" s="44"/>
      <c r="AJ22" s="26" t="s">
        <v>123</v>
      </c>
      <c r="AK22" s="44"/>
      <c r="AL22" s="44"/>
      <c r="AM22" s="44"/>
    </row>
    <row r="23" spans="1:39" x14ac:dyDescent="0.25">
      <c r="A23" s="75"/>
      <c r="B23" s="76"/>
      <c r="C23" s="30"/>
      <c r="D23" s="26"/>
      <c r="E23" s="26"/>
      <c r="F23" s="26"/>
      <c r="G23" s="26"/>
      <c r="H23" s="26"/>
      <c r="I23" s="26"/>
      <c r="J23" s="26"/>
      <c r="K23" s="26"/>
      <c r="L23" s="26"/>
      <c r="M23" s="44"/>
      <c r="N23" s="44"/>
      <c r="O23" s="44"/>
      <c r="P23" s="44"/>
      <c r="Q23" s="44"/>
      <c r="R23" s="44"/>
      <c r="S23" s="44"/>
      <c r="T23" s="44"/>
      <c r="U23" s="44"/>
      <c r="V23" s="44"/>
      <c r="W23" s="44"/>
      <c r="X23" s="44"/>
      <c r="Y23" s="44"/>
      <c r="Z23" s="44"/>
      <c r="AA23" s="44"/>
      <c r="AB23" s="44"/>
      <c r="AC23" s="44"/>
      <c r="AD23" s="44"/>
      <c r="AE23" s="44"/>
      <c r="AF23" s="44"/>
      <c r="AG23" s="44"/>
      <c r="AH23" s="44"/>
      <c r="AI23" s="44"/>
      <c r="AJ23" s="26" t="s">
        <v>65</v>
      </c>
      <c r="AK23" s="44"/>
      <c r="AL23" s="44"/>
      <c r="AM23" s="44"/>
    </row>
    <row r="24" spans="1:39" ht="15" customHeight="1" x14ac:dyDescent="0.25">
      <c r="A24" s="69" t="str">
        <f>'Item Categories'!C13</f>
        <v>ARC_Plumbing Fixtures</v>
      </c>
      <c r="B24" s="70"/>
      <c r="C24" s="30"/>
      <c r="D24" s="26"/>
      <c r="E24" s="26"/>
      <c r="F24" s="26"/>
      <c r="G24" s="26"/>
      <c r="H24" s="26"/>
      <c r="I24" s="26"/>
      <c r="J24" s="26"/>
      <c r="K24" s="26"/>
      <c r="L24" s="26"/>
      <c r="M24" s="26"/>
      <c r="N24" s="44"/>
      <c r="O24" s="44"/>
      <c r="P24" s="26" t="s">
        <v>123</v>
      </c>
      <c r="Q24" s="26" t="s">
        <v>123</v>
      </c>
      <c r="R24" s="26" t="s">
        <v>123</v>
      </c>
      <c r="S24" s="44"/>
      <c r="T24" s="26" t="s">
        <v>123</v>
      </c>
      <c r="U24" s="26" t="s">
        <v>123</v>
      </c>
      <c r="V24" s="26" t="s">
        <v>123</v>
      </c>
      <c r="W24" s="26" t="s">
        <v>123</v>
      </c>
      <c r="X24" s="26" t="s">
        <v>123</v>
      </c>
      <c r="Y24" s="26" t="s">
        <v>123</v>
      </c>
      <c r="Z24" s="26" t="s">
        <v>123</v>
      </c>
      <c r="AA24" s="26" t="s">
        <v>123</v>
      </c>
      <c r="AB24" s="26" t="s">
        <v>123</v>
      </c>
      <c r="AC24" s="26" t="s">
        <v>123</v>
      </c>
      <c r="AD24" s="26" t="s">
        <v>123</v>
      </c>
      <c r="AE24" s="26" t="s">
        <v>123</v>
      </c>
      <c r="AF24" s="26" t="s">
        <v>123</v>
      </c>
      <c r="AG24" s="26" t="s">
        <v>123</v>
      </c>
      <c r="AH24" s="26" t="s">
        <v>123</v>
      </c>
      <c r="AI24" s="26" t="s">
        <v>123</v>
      </c>
      <c r="AJ24" s="26" t="s">
        <v>123</v>
      </c>
      <c r="AK24" s="44"/>
      <c r="AL24" s="44"/>
      <c r="AM24" s="44"/>
    </row>
    <row r="25" spans="1:39" x14ac:dyDescent="0.25">
      <c r="A25" s="71"/>
      <c r="B25" s="72"/>
      <c r="C25" s="30"/>
      <c r="D25" s="26"/>
      <c r="E25" s="26"/>
      <c r="F25" s="26"/>
      <c r="G25" s="26"/>
      <c r="H25" s="26"/>
      <c r="I25" s="26"/>
      <c r="J25" s="26"/>
      <c r="K25" s="26"/>
      <c r="L25" s="26"/>
      <c r="M25" s="26"/>
      <c r="N25" s="44"/>
      <c r="O25" s="44"/>
      <c r="P25" s="26" t="s">
        <v>66</v>
      </c>
      <c r="Q25" s="26" t="s">
        <v>66</v>
      </c>
      <c r="R25" s="26" t="s">
        <v>66</v>
      </c>
      <c r="S25" s="44"/>
      <c r="T25" s="26" t="s">
        <v>66</v>
      </c>
      <c r="U25" s="26" t="s">
        <v>66</v>
      </c>
      <c r="V25" s="26" t="s">
        <v>66</v>
      </c>
      <c r="W25" s="26" t="s">
        <v>66</v>
      </c>
      <c r="X25" s="26" t="s">
        <v>66</v>
      </c>
      <c r="Y25" s="26" t="s">
        <v>66</v>
      </c>
      <c r="Z25" s="26" t="s">
        <v>66</v>
      </c>
      <c r="AA25" s="26" t="s">
        <v>66</v>
      </c>
      <c r="AB25" s="26" t="s">
        <v>66</v>
      </c>
      <c r="AC25" s="26" t="s">
        <v>66</v>
      </c>
      <c r="AD25" s="26" t="s">
        <v>66</v>
      </c>
      <c r="AE25" s="26" t="s">
        <v>66</v>
      </c>
      <c r="AF25" s="26" t="s">
        <v>66</v>
      </c>
      <c r="AG25" s="26" t="s">
        <v>66</v>
      </c>
      <c r="AH25" s="26" t="s">
        <v>66</v>
      </c>
      <c r="AI25" s="26" t="s">
        <v>66</v>
      </c>
      <c r="AJ25" s="26" t="s">
        <v>66</v>
      </c>
      <c r="AK25" s="44"/>
      <c r="AL25" s="44"/>
      <c r="AM25" s="44"/>
    </row>
    <row r="26" spans="1:39" x14ac:dyDescent="0.25">
      <c r="A26" s="69" t="str">
        <f>'Item Categories'!C14</f>
        <v>ARC_SOG Floor Insulation</v>
      </c>
      <c r="B26" s="70"/>
      <c r="C26" s="30"/>
      <c r="D26" s="26"/>
      <c r="E26" s="26"/>
      <c r="F26" s="26"/>
      <c r="G26" s="26"/>
      <c r="H26" s="26"/>
      <c r="I26" s="26"/>
      <c r="J26" s="26"/>
      <c r="K26" s="26"/>
      <c r="L26" s="26"/>
      <c r="M26" s="26"/>
      <c r="N26" s="26"/>
      <c r="O26" s="44"/>
      <c r="P26" s="44"/>
      <c r="Q26" s="44"/>
      <c r="R26" s="44"/>
      <c r="S26" s="44"/>
      <c r="T26" s="43" t="s">
        <v>121</v>
      </c>
      <c r="U26" s="43" t="s">
        <v>121</v>
      </c>
      <c r="V26" s="43" t="s">
        <v>121</v>
      </c>
      <c r="W26" s="43" t="s">
        <v>121</v>
      </c>
      <c r="X26" s="43" t="s">
        <v>121</v>
      </c>
      <c r="Y26" s="43" t="s">
        <v>121</v>
      </c>
      <c r="Z26" s="43" t="s">
        <v>121</v>
      </c>
      <c r="AA26" s="43" t="s">
        <v>121</v>
      </c>
      <c r="AB26" s="43" t="s">
        <v>121</v>
      </c>
      <c r="AC26" s="43" t="s">
        <v>121</v>
      </c>
      <c r="AD26" s="43" t="s">
        <v>121</v>
      </c>
      <c r="AE26" s="43" t="s">
        <v>121</v>
      </c>
      <c r="AF26" s="43" t="s">
        <v>121</v>
      </c>
      <c r="AG26" s="43" t="s">
        <v>121</v>
      </c>
      <c r="AH26" s="43" t="s">
        <v>121</v>
      </c>
      <c r="AI26" s="44"/>
      <c r="AJ26" s="44"/>
      <c r="AK26" s="43" t="s">
        <v>121</v>
      </c>
      <c r="AL26" s="44"/>
      <c r="AM26" s="44"/>
    </row>
    <row r="27" spans="1:39" x14ac:dyDescent="0.25">
      <c r="A27" s="71"/>
      <c r="B27" s="72"/>
      <c r="C27" s="30"/>
      <c r="D27" s="26"/>
      <c r="E27" s="26"/>
      <c r="F27" s="26"/>
      <c r="G27" s="26"/>
      <c r="H27" s="26"/>
      <c r="I27" s="26"/>
      <c r="J27" s="26"/>
      <c r="K27" s="26"/>
      <c r="L27" s="26"/>
      <c r="M27" s="26"/>
      <c r="N27" s="26"/>
      <c r="O27" s="44"/>
      <c r="P27" s="44"/>
      <c r="Q27" s="44"/>
      <c r="R27" s="44"/>
      <c r="S27" s="44"/>
      <c r="T27" s="28" t="s">
        <v>65</v>
      </c>
      <c r="U27" s="28" t="s">
        <v>65</v>
      </c>
      <c r="V27" s="28" t="s">
        <v>65</v>
      </c>
      <c r="W27" s="28" t="s">
        <v>65</v>
      </c>
      <c r="X27" s="28" t="s">
        <v>65</v>
      </c>
      <c r="Y27" s="28" t="s">
        <v>65</v>
      </c>
      <c r="Z27" s="28" t="s">
        <v>65</v>
      </c>
      <c r="AA27" s="28" t="s">
        <v>65</v>
      </c>
      <c r="AB27" s="28" t="s">
        <v>65</v>
      </c>
      <c r="AC27" s="28" t="s">
        <v>65</v>
      </c>
      <c r="AD27" s="28" t="s">
        <v>65</v>
      </c>
      <c r="AE27" s="28" t="s">
        <v>65</v>
      </c>
      <c r="AF27" s="28" t="s">
        <v>65</v>
      </c>
      <c r="AG27" s="28" t="s">
        <v>65</v>
      </c>
      <c r="AH27" s="28" t="s">
        <v>65</v>
      </c>
      <c r="AI27" s="44"/>
      <c r="AJ27" s="44"/>
      <c r="AK27" s="28" t="s">
        <v>65</v>
      </c>
      <c r="AL27" s="44"/>
      <c r="AM27" s="44"/>
    </row>
    <row r="28" spans="1:39" ht="15" customHeight="1" x14ac:dyDescent="0.25">
      <c r="A28" s="69" t="str">
        <f>'Item Categories'!C15</f>
        <v>STR_Seismic Elements</v>
      </c>
      <c r="B28" s="70"/>
      <c r="C28" s="30"/>
      <c r="D28" s="26"/>
      <c r="E28" s="26"/>
      <c r="F28" s="26"/>
      <c r="G28" s="26"/>
      <c r="H28" s="26"/>
      <c r="I28" s="26"/>
      <c r="J28" s="26"/>
      <c r="K28" s="26"/>
      <c r="L28" s="26"/>
      <c r="M28" s="26"/>
      <c r="N28" s="26"/>
      <c r="O28" s="26"/>
      <c r="P28" s="44"/>
      <c r="Q28" s="26" t="s">
        <v>122</v>
      </c>
      <c r="R28" s="26" t="s">
        <v>122</v>
      </c>
      <c r="S28" s="26" t="s">
        <v>122</v>
      </c>
      <c r="T28" s="26" t="s">
        <v>122</v>
      </c>
      <c r="U28" s="26" t="s">
        <v>122</v>
      </c>
      <c r="V28" s="26" t="s">
        <v>122</v>
      </c>
      <c r="W28" s="26" t="s">
        <v>122</v>
      </c>
      <c r="X28" s="26" t="s">
        <v>122</v>
      </c>
      <c r="Y28" s="26" t="s">
        <v>122</v>
      </c>
      <c r="Z28" s="26" t="s">
        <v>122</v>
      </c>
      <c r="AA28" s="26" t="s">
        <v>122</v>
      </c>
      <c r="AB28" s="26" t="s">
        <v>122</v>
      </c>
      <c r="AC28" s="26" t="s">
        <v>122</v>
      </c>
      <c r="AD28" s="26" t="s">
        <v>122</v>
      </c>
      <c r="AE28" s="26" t="s">
        <v>122</v>
      </c>
      <c r="AF28" s="26" t="s">
        <v>122</v>
      </c>
      <c r="AG28" s="26" t="s">
        <v>122</v>
      </c>
      <c r="AH28" s="26" t="s">
        <v>122</v>
      </c>
      <c r="AI28" s="26" t="s">
        <v>122</v>
      </c>
      <c r="AJ28" s="26" t="s">
        <v>122</v>
      </c>
      <c r="AK28" s="26" t="s">
        <v>122</v>
      </c>
      <c r="AL28" s="44"/>
      <c r="AM28" s="44"/>
    </row>
    <row r="29" spans="1:39" x14ac:dyDescent="0.25">
      <c r="A29" s="71"/>
      <c r="B29" s="72"/>
      <c r="C29" s="30"/>
      <c r="D29" s="26"/>
      <c r="E29" s="26"/>
      <c r="F29" s="26"/>
      <c r="G29" s="26"/>
      <c r="H29" s="26"/>
      <c r="I29" s="26"/>
      <c r="J29" s="26"/>
      <c r="K29" s="26"/>
      <c r="L29" s="26"/>
      <c r="M29" s="26"/>
      <c r="N29" s="26"/>
      <c r="O29" s="26"/>
      <c r="P29" s="44"/>
      <c r="Q29" s="26" t="s">
        <v>66</v>
      </c>
      <c r="R29" s="26" t="s">
        <v>66</v>
      </c>
      <c r="S29" s="26" t="s">
        <v>66</v>
      </c>
      <c r="T29" s="26" t="s">
        <v>66</v>
      </c>
      <c r="U29" s="26" t="s">
        <v>66</v>
      </c>
      <c r="V29" s="26" t="s">
        <v>66</v>
      </c>
      <c r="W29" s="26" t="s">
        <v>66</v>
      </c>
      <c r="X29" s="26" t="s">
        <v>66</v>
      </c>
      <c r="Y29" s="26" t="s">
        <v>66</v>
      </c>
      <c r="Z29" s="26" t="s">
        <v>66</v>
      </c>
      <c r="AA29" s="26" t="s">
        <v>66</v>
      </c>
      <c r="AB29" s="26" t="s">
        <v>66</v>
      </c>
      <c r="AC29" s="26" t="s">
        <v>66</v>
      </c>
      <c r="AD29" s="26" t="s">
        <v>66</v>
      </c>
      <c r="AE29" s="26" t="s">
        <v>66</v>
      </c>
      <c r="AF29" s="26" t="s">
        <v>66</v>
      </c>
      <c r="AG29" s="26" t="s">
        <v>66</v>
      </c>
      <c r="AH29" s="26" t="s">
        <v>66</v>
      </c>
      <c r="AI29" s="26" t="s">
        <v>66</v>
      </c>
      <c r="AJ29" s="26" t="s">
        <v>66</v>
      </c>
      <c r="AK29" s="26" t="s">
        <v>66</v>
      </c>
      <c r="AL29" s="44"/>
      <c r="AM29" s="44"/>
    </row>
    <row r="30" spans="1:39" ht="15" customHeight="1" x14ac:dyDescent="0.25">
      <c r="A30" s="69" t="str">
        <f>'Item Categories'!C16</f>
        <v>STR_Conc work Excl Floor Slab</v>
      </c>
      <c r="B30" s="70"/>
      <c r="C30" s="30"/>
      <c r="D30" s="26"/>
      <c r="E30" s="26"/>
      <c r="F30" s="26"/>
      <c r="G30" s="26"/>
      <c r="H30" s="26"/>
      <c r="I30" s="26"/>
      <c r="J30" s="26"/>
      <c r="K30" s="26"/>
      <c r="L30" s="26"/>
      <c r="M30" s="26"/>
      <c r="N30" s="26"/>
      <c r="O30" s="26"/>
      <c r="P30" s="26"/>
      <c r="Q30" s="44"/>
      <c r="R30" s="44"/>
      <c r="S30" s="44"/>
      <c r="T30" s="26" t="s">
        <v>121</v>
      </c>
      <c r="U30" s="26" t="s">
        <v>121</v>
      </c>
      <c r="V30" s="26" t="s">
        <v>121</v>
      </c>
      <c r="W30" s="26" t="s">
        <v>121</v>
      </c>
      <c r="X30" s="26" t="s">
        <v>121</v>
      </c>
      <c r="Y30" s="26" t="s">
        <v>121</v>
      </c>
      <c r="Z30" s="26" t="s">
        <v>121</v>
      </c>
      <c r="AA30" s="26" t="s">
        <v>121</v>
      </c>
      <c r="AB30" s="26" t="s">
        <v>121</v>
      </c>
      <c r="AC30" s="26" t="s">
        <v>121</v>
      </c>
      <c r="AD30" s="26" t="s">
        <v>121</v>
      </c>
      <c r="AE30" s="26" t="s">
        <v>121</v>
      </c>
      <c r="AF30" s="26" t="s">
        <v>121</v>
      </c>
      <c r="AG30" s="26" t="s">
        <v>121</v>
      </c>
      <c r="AH30" s="26" t="s">
        <v>121</v>
      </c>
      <c r="AI30" s="26" t="s">
        <v>121</v>
      </c>
      <c r="AJ30" s="26" t="s">
        <v>121</v>
      </c>
      <c r="AK30" s="26" t="s">
        <v>121</v>
      </c>
      <c r="AL30" s="44"/>
      <c r="AM30" s="44"/>
    </row>
    <row r="31" spans="1:39" x14ac:dyDescent="0.25">
      <c r="A31" s="71"/>
      <c r="B31" s="72"/>
      <c r="C31" s="30"/>
      <c r="D31" s="26"/>
      <c r="E31" s="26"/>
      <c r="F31" s="26"/>
      <c r="G31" s="26"/>
      <c r="H31" s="26"/>
      <c r="I31" s="26"/>
      <c r="J31" s="26"/>
      <c r="K31" s="26"/>
      <c r="L31" s="26"/>
      <c r="M31" s="26"/>
      <c r="N31" s="26"/>
      <c r="O31" s="26"/>
      <c r="P31" s="26"/>
      <c r="Q31" s="44"/>
      <c r="R31" s="44"/>
      <c r="S31" s="44"/>
      <c r="T31" s="26" t="s">
        <v>66</v>
      </c>
      <c r="U31" s="26" t="s">
        <v>66</v>
      </c>
      <c r="V31" s="26" t="s">
        <v>66</v>
      </c>
      <c r="W31" s="26" t="s">
        <v>66</v>
      </c>
      <c r="X31" s="26" t="s">
        <v>66</v>
      </c>
      <c r="Y31" s="26" t="s">
        <v>66</v>
      </c>
      <c r="Z31" s="26" t="s">
        <v>66</v>
      </c>
      <c r="AA31" s="26" t="s">
        <v>66</v>
      </c>
      <c r="AB31" s="26" t="s">
        <v>66</v>
      </c>
      <c r="AC31" s="26" t="s">
        <v>66</v>
      </c>
      <c r="AD31" s="26" t="s">
        <v>66</v>
      </c>
      <c r="AE31" s="26" t="s">
        <v>66</v>
      </c>
      <c r="AF31" s="26" t="s">
        <v>66</v>
      </c>
      <c r="AG31" s="26" t="s">
        <v>66</v>
      </c>
      <c r="AH31" s="26" t="s">
        <v>66</v>
      </c>
      <c r="AI31" s="26" t="s">
        <v>66</v>
      </c>
      <c r="AJ31" s="26" t="s">
        <v>66</v>
      </c>
      <c r="AK31" s="26" t="s">
        <v>66</v>
      </c>
      <c r="AL31" s="44"/>
      <c r="AM31" s="44"/>
    </row>
    <row r="32" spans="1:39" ht="15" customHeight="1" x14ac:dyDescent="0.25">
      <c r="A32" s="69" t="str">
        <f>'Item Categories'!C17</f>
        <v>STR_Steelwork (Bracing and Columns)</v>
      </c>
      <c r="B32" s="70"/>
      <c r="C32" s="30"/>
      <c r="D32" s="26"/>
      <c r="E32" s="26"/>
      <c r="F32" s="26"/>
      <c r="G32" s="26"/>
      <c r="H32" s="26"/>
      <c r="I32" s="26"/>
      <c r="J32" s="26"/>
      <c r="K32" s="26"/>
      <c r="L32" s="26"/>
      <c r="M32" s="26"/>
      <c r="N32" s="26"/>
      <c r="O32" s="26"/>
      <c r="P32" s="26"/>
      <c r="Q32" s="26"/>
      <c r="R32" s="44"/>
      <c r="S32" s="44"/>
      <c r="T32" s="26" t="s">
        <v>121</v>
      </c>
      <c r="U32" s="26" t="s">
        <v>121</v>
      </c>
      <c r="V32" s="26" t="s">
        <v>121</v>
      </c>
      <c r="W32" s="26" t="s">
        <v>121</v>
      </c>
      <c r="X32" s="44"/>
      <c r="Y32" s="26" t="s">
        <v>121</v>
      </c>
      <c r="Z32" s="26" t="s">
        <v>121</v>
      </c>
      <c r="AA32" s="26" t="s">
        <v>121</v>
      </c>
      <c r="AB32" s="26" t="s">
        <v>121</v>
      </c>
      <c r="AC32" s="26" t="s">
        <v>121</v>
      </c>
      <c r="AD32" s="26" t="s">
        <v>121</v>
      </c>
      <c r="AE32" s="26" t="s">
        <v>121</v>
      </c>
      <c r="AF32" s="26" t="s">
        <v>121</v>
      </c>
      <c r="AG32" s="26" t="s">
        <v>121</v>
      </c>
      <c r="AH32" s="26" t="s">
        <v>121</v>
      </c>
      <c r="AI32" s="26" t="s">
        <v>121</v>
      </c>
      <c r="AJ32" s="26" t="s">
        <v>121</v>
      </c>
      <c r="AK32" s="44"/>
      <c r="AL32" s="44"/>
      <c r="AM32" s="44"/>
    </row>
    <row r="33" spans="1:39" x14ac:dyDescent="0.25">
      <c r="A33" s="71"/>
      <c r="B33" s="72"/>
      <c r="C33" s="30"/>
      <c r="D33" s="26"/>
      <c r="E33" s="26"/>
      <c r="F33" s="26"/>
      <c r="G33" s="26"/>
      <c r="H33" s="26"/>
      <c r="I33" s="26"/>
      <c r="J33" s="26"/>
      <c r="K33" s="26"/>
      <c r="L33" s="26"/>
      <c r="M33" s="26"/>
      <c r="N33" s="26"/>
      <c r="O33" s="26"/>
      <c r="P33" s="26"/>
      <c r="Q33" s="26"/>
      <c r="R33" s="44"/>
      <c r="S33" s="44"/>
      <c r="T33" s="26" t="s">
        <v>66</v>
      </c>
      <c r="U33" s="26" t="s">
        <v>66</v>
      </c>
      <c r="V33" s="26" t="s">
        <v>66</v>
      </c>
      <c r="W33" s="26" t="s">
        <v>66</v>
      </c>
      <c r="X33" s="44"/>
      <c r="Y33" s="26" t="s">
        <v>66</v>
      </c>
      <c r="Z33" s="26" t="s">
        <v>66</v>
      </c>
      <c r="AA33" s="26" t="s">
        <v>66</v>
      </c>
      <c r="AB33" s="26" t="s">
        <v>66</v>
      </c>
      <c r="AC33" s="26" t="s">
        <v>66</v>
      </c>
      <c r="AD33" s="26" t="s">
        <v>66</v>
      </c>
      <c r="AE33" s="26" t="s">
        <v>66</v>
      </c>
      <c r="AF33" s="26" t="s">
        <v>66</v>
      </c>
      <c r="AG33" s="26" t="s">
        <v>66</v>
      </c>
      <c r="AH33" s="26" t="s">
        <v>66</v>
      </c>
      <c r="AI33" s="26" t="s">
        <v>66</v>
      </c>
      <c r="AJ33" s="26" t="s">
        <v>66</v>
      </c>
      <c r="AK33" s="44"/>
      <c r="AL33" s="44"/>
      <c r="AM33" s="44"/>
    </row>
    <row r="34" spans="1:39" x14ac:dyDescent="0.25">
      <c r="A34" s="69" t="str">
        <f>'Item Categories'!C18</f>
        <v>STR Floor</v>
      </c>
      <c r="B34" s="70"/>
      <c r="C34" s="30"/>
      <c r="D34" s="26"/>
      <c r="E34" s="26"/>
      <c r="F34" s="26"/>
      <c r="G34" s="26"/>
      <c r="H34" s="26"/>
      <c r="I34" s="26"/>
      <c r="J34" s="26"/>
      <c r="K34" s="26"/>
      <c r="L34" s="26"/>
      <c r="M34" s="26"/>
      <c r="N34" s="26"/>
      <c r="O34" s="26"/>
      <c r="P34" s="26"/>
      <c r="Q34" s="26"/>
      <c r="R34" s="26"/>
      <c r="S34" s="44"/>
      <c r="T34" s="26" t="s">
        <v>121</v>
      </c>
      <c r="U34" s="26" t="s">
        <v>121</v>
      </c>
      <c r="V34" s="26" t="s">
        <v>121</v>
      </c>
      <c r="W34" s="26" t="s">
        <v>121</v>
      </c>
      <c r="X34" s="44"/>
      <c r="Y34" s="26" t="s">
        <v>121</v>
      </c>
      <c r="Z34" s="26" t="s">
        <v>121</v>
      </c>
      <c r="AA34" s="26" t="s">
        <v>121</v>
      </c>
      <c r="AB34" s="26" t="s">
        <v>121</v>
      </c>
      <c r="AC34" s="26" t="s">
        <v>121</v>
      </c>
      <c r="AD34" s="26" t="s">
        <v>121</v>
      </c>
      <c r="AE34" s="26" t="s">
        <v>121</v>
      </c>
      <c r="AF34" s="26" t="s">
        <v>121</v>
      </c>
      <c r="AG34" s="26" t="s">
        <v>121</v>
      </c>
      <c r="AH34" s="26" t="s">
        <v>121</v>
      </c>
      <c r="AI34" s="26" t="s">
        <v>121</v>
      </c>
      <c r="AJ34" s="26" t="s">
        <v>121</v>
      </c>
      <c r="AK34" s="26" t="s">
        <v>121</v>
      </c>
      <c r="AL34" s="44"/>
      <c r="AM34" s="44"/>
    </row>
    <row r="35" spans="1:39" x14ac:dyDescent="0.25">
      <c r="A35" s="71"/>
      <c r="B35" s="72"/>
      <c r="C35" s="30"/>
      <c r="D35" s="26"/>
      <c r="E35" s="26"/>
      <c r="F35" s="26"/>
      <c r="G35" s="26"/>
      <c r="H35" s="26"/>
      <c r="I35" s="26"/>
      <c r="J35" s="26"/>
      <c r="K35" s="26"/>
      <c r="L35" s="26"/>
      <c r="M35" s="26"/>
      <c r="N35" s="26"/>
      <c r="O35" s="26"/>
      <c r="P35" s="26"/>
      <c r="Q35" s="26"/>
      <c r="R35" s="26"/>
      <c r="S35" s="44"/>
      <c r="T35" s="26" t="s">
        <v>66</v>
      </c>
      <c r="U35" s="26" t="s">
        <v>66</v>
      </c>
      <c r="V35" s="26" t="s">
        <v>66</v>
      </c>
      <c r="W35" s="26" t="s">
        <v>66</v>
      </c>
      <c r="X35" s="44"/>
      <c r="Y35" s="26" t="s">
        <v>66</v>
      </c>
      <c r="Z35" s="26" t="s">
        <v>66</v>
      </c>
      <c r="AA35" s="26" t="s">
        <v>66</v>
      </c>
      <c r="AB35" s="26" t="s">
        <v>66</v>
      </c>
      <c r="AC35" s="26" t="s">
        <v>66</v>
      </c>
      <c r="AD35" s="26" t="s">
        <v>66</v>
      </c>
      <c r="AE35" s="26" t="s">
        <v>66</v>
      </c>
      <c r="AF35" s="26" t="s">
        <v>66</v>
      </c>
      <c r="AG35" s="26" t="s">
        <v>66</v>
      </c>
      <c r="AH35" s="26" t="s">
        <v>66</v>
      </c>
      <c r="AI35" s="26" t="s">
        <v>66</v>
      </c>
      <c r="AJ35" s="26" t="s">
        <v>66</v>
      </c>
      <c r="AK35" s="26" t="s">
        <v>66</v>
      </c>
      <c r="AL35" s="44"/>
      <c r="AM35" s="44"/>
    </row>
    <row r="36" spans="1:39" ht="15" customHeight="1" x14ac:dyDescent="0.25">
      <c r="A36" s="69" t="str">
        <f>'Item Categories'!C19</f>
        <v>HYD_Uninsulated Pipes and Acc</v>
      </c>
      <c r="B36" s="70"/>
      <c r="C36" s="30"/>
      <c r="D36" s="26"/>
      <c r="E36" s="26"/>
      <c r="F36" s="26"/>
      <c r="G36" s="26"/>
      <c r="H36" s="26"/>
      <c r="I36" s="26"/>
      <c r="J36" s="26"/>
      <c r="K36" s="26"/>
      <c r="L36" s="26"/>
      <c r="M36" s="26"/>
      <c r="N36" s="26"/>
      <c r="O36" s="26"/>
      <c r="P36" s="26"/>
      <c r="Q36" s="26"/>
      <c r="R36" s="26"/>
      <c r="S36" s="28"/>
      <c r="T36" s="44"/>
      <c r="U36" s="26" t="s">
        <v>122</v>
      </c>
      <c r="V36" s="26" t="s">
        <v>122</v>
      </c>
      <c r="W36" s="26" t="s">
        <v>122</v>
      </c>
      <c r="X36" s="26" t="s">
        <v>122</v>
      </c>
      <c r="Y36" s="26" t="s">
        <v>122</v>
      </c>
      <c r="Z36" s="26" t="s">
        <v>122</v>
      </c>
      <c r="AA36" s="26" t="s">
        <v>122</v>
      </c>
      <c r="AB36" s="26" t="s">
        <v>122</v>
      </c>
      <c r="AC36" s="26" t="s">
        <v>122</v>
      </c>
      <c r="AD36" s="26" t="s">
        <v>122</v>
      </c>
      <c r="AE36" s="26" t="s">
        <v>122</v>
      </c>
      <c r="AF36" s="26" t="s">
        <v>122</v>
      </c>
      <c r="AG36" s="26" t="s">
        <v>122</v>
      </c>
      <c r="AH36" s="26" t="s">
        <v>122</v>
      </c>
      <c r="AI36" s="26" t="s">
        <v>122</v>
      </c>
      <c r="AJ36" s="26" t="s">
        <v>122</v>
      </c>
      <c r="AK36" s="26" t="s">
        <v>122</v>
      </c>
      <c r="AL36" s="26" t="s">
        <v>122</v>
      </c>
      <c r="AM36" s="26" t="s">
        <v>122</v>
      </c>
    </row>
    <row r="37" spans="1:39" x14ac:dyDescent="0.25">
      <c r="A37" s="71"/>
      <c r="B37" s="72"/>
      <c r="C37" s="30"/>
      <c r="D37" s="26"/>
      <c r="E37" s="26"/>
      <c r="F37" s="26"/>
      <c r="G37" s="26"/>
      <c r="H37" s="26"/>
      <c r="I37" s="26"/>
      <c r="J37" s="26"/>
      <c r="K37" s="26"/>
      <c r="L37" s="26"/>
      <c r="M37" s="26"/>
      <c r="N37" s="26"/>
      <c r="O37" s="26"/>
      <c r="P37" s="26"/>
      <c r="Q37" s="26"/>
      <c r="R37" s="26"/>
      <c r="S37" s="28"/>
      <c r="T37" s="44"/>
      <c r="U37" s="26" t="s">
        <v>66</v>
      </c>
      <c r="V37" s="26" t="s">
        <v>66</v>
      </c>
      <c r="W37" s="26" t="s">
        <v>66</v>
      </c>
      <c r="X37" s="26" t="s">
        <v>66</v>
      </c>
      <c r="Y37" s="26" t="s">
        <v>66</v>
      </c>
      <c r="Z37" s="26" t="s">
        <v>66</v>
      </c>
      <c r="AA37" s="26" t="s">
        <v>66</v>
      </c>
      <c r="AB37" s="26" t="s">
        <v>66</v>
      </c>
      <c r="AC37" s="26" t="s">
        <v>66</v>
      </c>
      <c r="AD37" s="26" t="s">
        <v>66</v>
      </c>
      <c r="AE37" s="26" t="s">
        <v>66</v>
      </c>
      <c r="AF37" s="26" t="s">
        <v>66</v>
      </c>
      <c r="AG37" s="26" t="s">
        <v>66</v>
      </c>
      <c r="AH37" s="26" t="s">
        <v>66</v>
      </c>
      <c r="AI37" s="26" t="s">
        <v>66</v>
      </c>
      <c r="AJ37" s="26" t="s">
        <v>66</v>
      </c>
      <c r="AK37" s="26" t="s">
        <v>66</v>
      </c>
      <c r="AL37" s="26" t="s">
        <v>66</v>
      </c>
      <c r="AM37" s="26" t="s">
        <v>66</v>
      </c>
    </row>
    <row r="38" spans="1:39" ht="15" customHeight="1" x14ac:dyDescent="0.25">
      <c r="A38" s="69" t="str">
        <f>'Item Categories'!C20</f>
        <v>HYD_Pipe Insulation</v>
      </c>
      <c r="B38" s="70"/>
      <c r="C38" s="30"/>
      <c r="D38" s="26"/>
      <c r="E38" s="26"/>
      <c r="F38" s="26"/>
      <c r="G38" s="26"/>
      <c r="H38" s="26"/>
      <c r="I38" s="26"/>
      <c r="J38" s="26"/>
      <c r="K38" s="26"/>
      <c r="L38" s="26"/>
      <c r="M38" s="26"/>
      <c r="N38" s="26"/>
      <c r="O38" s="26"/>
      <c r="P38" s="26"/>
      <c r="Q38" s="26"/>
      <c r="R38" s="26"/>
      <c r="S38" s="28"/>
      <c r="T38" s="26"/>
      <c r="U38" s="44"/>
      <c r="V38" s="26" t="s">
        <v>122</v>
      </c>
      <c r="W38" s="26" t="s">
        <v>122</v>
      </c>
      <c r="X38" s="26" t="s">
        <v>122</v>
      </c>
      <c r="Y38" s="26" t="s">
        <v>122</v>
      </c>
      <c r="Z38" s="26" t="s">
        <v>122</v>
      </c>
      <c r="AA38" s="26" t="s">
        <v>122</v>
      </c>
      <c r="AB38" s="26" t="s">
        <v>122</v>
      </c>
      <c r="AC38" s="26" t="s">
        <v>122</v>
      </c>
      <c r="AD38" s="26" t="s">
        <v>122</v>
      </c>
      <c r="AE38" s="26" t="s">
        <v>122</v>
      </c>
      <c r="AF38" s="26" t="s">
        <v>122</v>
      </c>
      <c r="AG38" s="26" t="s">
        <v>122</v>
      </c>
      <c r="AH38" s="26" t="s">
        <v>122</v>
      </c>
      <c r="AI38" s="26" t="s">
        <v>122</v>
      </c>
      <c r="AJ38" s="26" t="s">
        <v>122</v>
      </c>
      <c r="AK38" s="26" t="s">
        <v>122</v>
      </c>
      <c r="AL38" s="26" t="s">
        <v>122</v>
      </c>
      <c r="AM38" s="26" t="s">
        <v>122</v>
      </c>
    </row>
    <row r="39" spans="1:39" x14ac:dyDescent="0.25">
      <c r="A39" s="71"/>
      <c r="B39" s="72"/>
      <c r="C39" s="30"/>
      <c r="D39" s="26"/>
      <c r="E39" s="26"/>
      <c r="F39" s="26"/>
      <c r="G39" s="26"/>
      <c r="H39" s="26"/>
      <c r="I39" s="26"/>
      <c r="J39" s="26"/>
      <c r="K39" s="26"/>
      <c r="L39" s="26"/>
      <c r="M39" s="26"/>
      <c r="N39" s="26"/>
      <c r="O39" s="26"/>
      <c r="P39" s="26"/>
      <c r="Q39" s="26"/>
      <c r="R39" s="26"/>
      <c r="S39" s="28"/>
      <c r="T39" s="26"/>
      <c r="U39" s="44"/>
      <c r="V39" s="26" t="s">
        <v>66</v>
      </c>
      <c r="W39" s="26" t="s">
        <v>66</v>
      </c>
      <c r="X39" s="26" t="s">
        <v>66</v>
      </c>
      <c r="Y39" s="26" t="s">
        <v>66</v>
      </c>
      <c r="Z39" s="26" t="s">
        <v>66</v>
      </c>
      <c r="AA39" s="26" t="s">
        <v>66</v>
      </c>
      <c r="AB39" s="26" t="s">
        <v>66</v>
      </c>
      <c r="AC39" s="26" t="s">
        <v>66</v>
      </c>
      <c r="AD39" s="26" t="s">
        <v>66</v>
      </c>
      <c r="AE39" s="26" t="s">
        <v>66</v>
      </c>
      <c r="AF39" s="26" t="s">
        <v>66</v>
      </c>
      <c r="AG39" s="26" t="s">
        <v>66</v>
      </c>
      <c r="AH39" s="26" t="s">
        <v>66</v>
      </c>
      <c r="AI39" s="26" t="s">
        <v>66</v>
      </c>
      <c r="AJ39" s="26" t="s">
        <v>66</v>
      </c>
      <c r="AK39" s="26" t="s">
        <v>66</v>
      </c>
      <c r="AL39" s="26" t="s">
        <v>66</v>
      </c>
      <c r="AM39" s="26" t="s">
        <v>66</v>
      </c>
    </row>
    <row r="40" spans="1:39" ht="15" customHeight="1" x14ac:dyDescent="0.25">
      <c r="A40" s="69" t="str">
        <f>'Item Categories'!C21</f>
        <v>HYD_Uninsulated Hot and Cold Pipes and Acc</v>
      </c>
      <c r="B40" s="70"/>
      <c r="C40" s="30"/>
      <c r="D40" s="26"/>
      <c r="E40" s="26"/>
      <c r="F40" s="26"/>
      <c r="G40" s="26"/>
      <c r="H40" s="26"/>
      <c r="I40" s="26"/>
      <c r="J40" s="26"/>
      <c r="K40" s="26"/>
      <c r="L40" s="26"/>
      <c r="M40" s="26"/>
      <c r="N40" s="26"/>
      <c r="O40" s="26"/>
      <c r="P40" s="26"/>
      <c r="Q40" s="26"/>
      <c r="R40" s="26"/>
      <c r="S40" s="28"/>
      <c r="T40" s="26"/>
      <c r="U40" s="28"/>
      <c r="V40" s="44"/>
      <c r="W40" s="26" t="s">
        <v>122</v>
      </c>
      <c r="X40" s="26" t="s">
        <v>122</v>
      </c>
      <c r="Y40" s="26" t="s">
        <v>122</v>
      </c>
      <c r="Z40" s="26" t="s">
        <v>122</v>
      </c>
      <c r="AA40" s="26" t="s">
        <v>122</v>
      </c>
      <c r="AB40" s="26" t="s">
        <v>122</v>
      </c>
      <c r="AC40" s="26" t="s">
        <v>122</v>
      </c>
      <c r="AD40" s="26" t="s">
        <v>122</v>
      </c>
      <c r="AE40" s="26" t="s">
        <v>122</v>
      </c>
      <c r="AF40" s="26" t="s">
        <v>122</v>
      </c>
      <c r="AG40" s="26" t="s">
        <v>122</v>
      </c>
      <c r="AH40" s="26" t="s">
        <v>122</v>
      </c>
      <c r="AI40" s="26" t="s">
        <v>122</v>
      </c>
      <c r="AJ40" s="26" t="s">
        <v>122</v>
      </c>
      <c r="AK40" s="26" t="s">
        <v>122</v>
      </c>
      <c r="AL40" s="26" t="s">
        <v>122</v>
      </c>
      <c r="AM40" s="26" t="s">
        <v>122</v>
      </c>
    </row>
    <row r="41" spans="1:39" x14ac:dyDescent="0.25">
      <c r="A41" s="71"/>
      <c r="B41" s="72"/>
      <c r="C41" s="30"/>
      <c r="D41" s="26"/>
      <c r="E41" s="26"/>
      <c r="F41" s="26"/>
      <c r="G41" s="26"/>
      <c r="H41" s="26"/>
      <c r="I41" s="26"/>
      <c r="J41" s="26"/>
      <c r="K41" s="26"/>
      <c r="L41" s="26"/>
      <c r="M41" s="26"/>
      <c r="N41" s="26"/>
      <c r="O41" s="26"/>
      <c r="P41" s="26"/>
      <c r="Q41" s="26"/>
      <c r="R41" s="26"/>
      <c r="S41" s="26"/>
      <c r="T41" s="28"/>
      <c r="U41" s="26"/>
      <c r="V41" s="44"/>
      <c r="W41" s="26" t="s">
        <v>66</v>
      </c>
      <c r="X41" s="26" t="s">
        <v>66</v>
      </c>
      <c r="Y41" s="26" t="s">
        <v>66</v>
      </c>
      <c r="Z41" s="26" t="s">
        <v>66</v>
      </c>
      <c r="AA41" s="26" t="s">
        <v>66</v>
      </c>
      <c r="AB41" s="26" t="s">
        <v>66</v>
      </c>
      <c r="AC41" s="26" t="s">
        <v>66</v>
      </c>
      <c r="AD41" s="26" t="s">
        <v>66</v>
      </c>
      <c r="AE41" s="26" t="s">
        <v>66</v>
      </c>
      <c r="AF41" s="26" t="s">
        <v>66</v>
      </c>
      <c r="AG41" s="26" t="s">
        <v>66</v>
      </c>
      <c r="AH41" s="26" t="s">
        <v>66</v>
      </c>
      <c r="AI41" s="26" t="s">
        <v>66</v>
      </c>
      <c r="AJ41" s="26" t="s">
        <v>66</v>
      </c>
      <c r="AK41" s="26" t="s">
        <v>66</v>
      </c>
      <c r="AL41" s="26" t="s">
        <v>66</v>
      </c>
      <c r="AM41" s="26" t="s">
        <v>66</v>
      </c>
    </row>
    <row r="42" spans="1:39" ht="15" customHeight="1" x14ac:dyDescent="0.25">
      <c r="A42" s="69" t="str">
        <f>'Item Categories'!C22</f>
        <v>HYD_Hot and Cold Insulation</v>
      </c>
      <c r="B42" s="70"/>
      <c r="C42" s="30"/>
      <c r="D42" s="26"/>
      <c r="E42" s="26"/>
      <c r="F42" s="26"/>
      <c r="G42" s="26"/>
      <c r="H42" s="26"/>
      <c r="I42" s="26"/>
      <c r="J42" s="26"/>
      <c r="K42" s="26"/>
      <c r="L42" s="26"/>
      <c r="M42" s="26"/>
      <c r="N42" s="26"/>
      <c r="O42" s="26"/>
      <c r="P42" s="26"/>
      <c r="Q42" s="26"/>
      <c r="R42" s="26"/>
      <c r="S42" s="26"/>
      <c r="T42" s="28"/>
      <c r="U42" s="26"/>
      <c r="V42" s="26"/>
      <c r="W42" s="44"/>
      <c r="X42" s="26" t="s">
        <v>122</v>
      </c>
      <c r="Y42" s="26" t="s">
        <v>122</v>
      </c>
      <c r="Z42" s="26" t="s">
        <v>122</v>
      </c>
      <c r="AA42" s="26" t="s">
        <v>122</v>
      </c>
      <c r="AB42" s="26" t="s">
        <v>122</v>
      </c>
      <c r="AC42" s="26" t="s">
        <v>122</v>
      </c>
      <c r="AD42" s="26" t="s">
        <v>122</v>
      </c>
      <c r="AE42" s="26" t="s">
        <v>122</v>
      </c>
      <c r="AF42" s="26" t="s">
        <v>122</v>
      </c>
      <c r="AG42" s="26" t="s">
        <v>122</v>
      </c>
      <c r="AH42" s="26" t="s">
        <v>122</v>
      </c>
      <c r="AI42" s="26" t="s">
        <v>122</v>
      </c>
      <c r="AJ42" s="26" t="s">
        <v>122</v>
      </c>
      <c r="AK42" s="26" t="s">
        <v>122</v>
      </c>
      <c r="AL42" s="26" t="s">
        <v>122</v>
      </c>
      <c r="AM42" s="26" t="s">
        <v>122</v>
      </c>
    </row>
    <row r="43" spans="1:39" x14ac:dyDescent="0.25">
      <c r="A43" s="71"/>
      <c r="B43" s="72"/>
      <c r="C43" s="30"/>
      <c r="D43" s="26"/>
      <c r="E43" s="26"/>
      <c r="F43" s="26"/>
      <c r="G43" s="26"/>
      <c r="H43" s="26"/>
      <c r="I43" s="26"/>
      <c r="J43" s="26"/>
      <c r="K43" s="26"/>
      <c r="L43" s="26"/>
      <c r="M43" s="26"/>
      <c r="N43" s="26"/>
      <c r="O43" s="26"/>
      <c r="P43" s="26"/>
      <c r="Q43" s="26"/>
      <c r="R43" s="26"/>
      <c r="S43" s="26"/>
      <c r="T43" s="28"/>
      <c r="U43" s="26"/>
      <c r="V43" s="26"/>
      <c r="W43" s="44"/>
      <c r="X43" s="26" t="s">
        <v>66</v>
      </c>
      <c r="Y43" s="26" t="s">
        <v>66</v>
      </c>
      <c r="Z43" s="26" t="s">
        <v>66</v>
      </c>
      <c r="AA43" s="26" t="s">
        <v>66</v>
      </c>
      <c r="AB43" s="26" t="s">
        <v>66</v>
      </c>
      <c r="AC43" s="26" t="s">
        <v>66</v>
      </c>
      <c r="AD43" s="26" t="s">
        <v>66</v>
      </c>
      <c r="AE43" s="26" t="s">
        <v>66</v>
      </c>
      <c r="AF43" s="26" t="s">
        <v>66</v>
      </c>
      <c r="AG43" s="26" t="s">
        <v>66</v>
      </c>
      <c r="AH43" s="26" t="s">
        <v>66</v>
      </c>
      <c r="AI43" s="26" t="s">
        <v>66</v>
      </c>
      <c r="AJ43" s="26" t="s">
        <v>66</v>
      </c>
      <c r="AK43" s="26" t="s">
        <v>66</v>
      </c>
      <c r="AL43" s="26" t="s">
        <v>66</v>
      </c>
      <c r="AM43" s="26" t="s">
        <v>66</v>
      </c>
    </row>
    <row r="44" spans="1:39" x14ac:dyDescent="0.25">
      <c r="A44" s="69" t="str">
        <f>'Item Categories'!C23</f>
        <v>HYD_Plumbing Fixture</v>
      </c>
      <c r="B44" s="70"/>
      <c r="C44" s="30"/>
      <c r="D44" s="26"/>
      <c r="E44" s="26"/>
      <c r="F44" s="26"/>
      <c r="G44" s="26"/>
      <c r="H44" s="26"/>
      <c r="I44" s="26"/>
      <c r="J44" s="26"/>
      <c r="K44" s="26"/>
      <c r="L44" s="26"/>
      <c r="M44" s="26"/>
      <c r="N44" s="26"/>
      <c r="O44" s="26"/>
      <c r="P44" s="26"/>
      <c r="Q44" s="26"/>
      <c r="R44" s="26"/>
      <c r="S44" s="26"/>
      <c r="T44" s="28"/>
      <c r="U44" s="26"/>
      <c r="V44" s="26"/>
      <c r="W44" s="26"/>
      <c r="X44" s="44"/>
      <c r="Y44" s="26" t="s">
        <v>122</v>
      </c>
      <c r="Z44" s="26" t="s">
        <v>122</v>
      </c>
      <c r="AA44" s="26" t="s">
        <v>122</v>
      </c>
      <c r="AB44" s="26" t="s">
        <v>122</v>
      </c>
      <c r="AC44" s="26" t="s">
        <v>122</v>
      </c>
      <c r="AD44" s="26" t="s">
        <v>122</v>
      </c>
      <c r="AE44" s="26" t="s">
        <v>122</v>
      </c>
      <c r="AF44" s="26" t="s">
        <v>122</v>
      </c>
      <c r="AG44" s="26" t="s">
        <v>122</v>
      </c>
      <c r="AH44" s="26" t="s">
        <v>122</v>
      </c>
      <c r="AI44" s="26" t="s">
        <v>122</v>
      </c>
      <c r="AJ44" s="26" t="s">
        <v>122</v>
      </c>
      <c r="AK44" s="26" t="s">
        <v>122</v>
      </c>
      <c r="AL44" s="26" t="s">
        <v>122</v>
      </c>
      <c r="AM44" s="26" t="s">
        <v>122</v>
      </c>
    </row>
    <row r="45" spans="1:39" x14ac:dyDescent="0.25">
      <c r="A45" s="71"/>
      <c r="B45" s="72"/>
      <c r="C45" s="30"/>
      <c r="D45" s="26"/>
      <c r="E45" s="26"/>
      <c r="F45" s="26"/>
      <c r="G45" s="26"/>
      <c r="H45" s="26"/>
      <c r="I45" s="26"/>
      <c r="J45" s="26"/>
      <c r="K45" s="26"/>
      <c r="L45" s="26"/>
      <c r="M45" s="26"/>
      <c r="N45" s="26"/>
      <c r="O45" s="26"/>
      <c r="P45" s="26"/>
      <c r="Q45" s="26"/>
      <c r="R45" s="26"/>
      <c r="S45" s="26"/>
      <c r="T45" s="28"/>
      <c r="U45" s="26"/>
      <c r="V45" s="26"/>
      <c r="W45" s="26"/>
      <c r="X45" s="44"/>
      <c r="Y45" s="26" t="s">
        <v>66</v>
      </c>
      <c r="Z45" s="26" t="s">
        <v>66</v>
      </c>
      <c r="AA45" s="26" t="s">
        <v>66</v>
      </c>
      <c r="AB45" s="26" t="s">
        <v>66</v>
      </c>
      <c r="AC45" s="26" t="s">
        <v>66</v>
      </c>
      <c r="AD45" s="26" t="s">
        <v>66</v>
      </c>
      <c r="AE45" s="26" t="s">
        <v>66</v>
      </c>
      <c r="AF45" s="26" t="s">
        <v>66</v>
      </c>
      <c r="AG45" s="26" t="s">
        <v>66</v>
      </c>
      <c r="AH45" s="26" t="s">
        <v>66</v>
      </c>
      <c r="AI45" s="26" t="s">
        <v>66</v>
      </c>
      <c r="AJ45" s="26" t="s">
        <v>66</v>
      </c>
      <c r="AK45" s="26" t="s">
        <v>66</v>
      </c>
      <c r="AL45" s="26" t="s">
        <v>66</v>
      </c>
      <c r="AM45" s="26" t="s">
        <v>66</v>
      </c>
    </row>
    <row r="46" spans="1:39" x14ac:dyDescent="0.25">
      <c r="A46" s="69" t="str">
        <f>'Item Categories'!C24</f>
        <v>MEC_Air Terminals</v>
      </c>
      <c r="B46" s="70"/>
      <c r="C46" s="30"/>
      <c r="D46" s="26"/>
      <c r="E46" s="26"/>
      <c r="F46" s="26"/>
      <c r="G46" s="26"/>
      <c r="H46" s="26"/>
      <c r="I46" s="26"/>
      <c r="J46" s="26"/>
      <c r="K46" s="26"/>
      <c r="L46" s="26"/>
      <c r="M46" s="26"/>
      <c r="N46" s="26"/>
      <c r="O46" s="26"/>
      <c r="P46" s="26"/>
      <c r="Q46" s="26"/>
      <c r="R46" s="26"/>
      <c r="S46" s="26"/>
      <c r="T46" s="26"/>
      <c r="U46" s="26"/>
      <c r="V46" s="26"/>
      <c r="W46" s="26"/>
      <c r="X46" s="26"/>
      <c r="Y46" s="44"/>
      <c r="Z46" s="26" t="s">
        <v>122</v>
      </c>
      <c r="AA46" s="26" t="s">
        <v>122</v>
      </c>
      <c r="AB46" s="26" t="s">
        <v>122</v>
      </c>
      <c r="AC46" s="26" t="s">
        <v>122</v>
      </c>
      <c r="AD46" s="26" t="s">
        <v>122</v>
      </c>
      <c r="AE46" s="26" t="s">
        <v>122</v>
      </c>
      <c r="AF46" s="26" t="s">
        <v>122</v>
      </c>
      <c r="AG46" s="26" t="s">
        <v>122</v>
      </c>
      <c r="AH46" s="26" t="s">
        <v>122</v>
      </c>
      <c r="AI46" s="26" t="s">
        <v>122</v>
      </c>
      <c r="AJ46" s="26" t="s">
        <v>122</v>
      </c>
      <c r="AK46" s="26" t="s">
        <v>122</v>
      </c>
      <c r="AL46" s="26" t="s">
        <v>122</v>
      </c>
      <c r="AM46" s="26" t="s">
        <v>122</v>
      </c>
    </row>
    <row r="47" spans="1:39" x14ac:dyDescent="0.25">
      <c r="A47" s="71"/>
      <c r="B47" s="72"/>
      <c r="C47" s="30"/>
      <c r="D47" s="26"/>
      <c r="E47" s="26"/>
      <c r="F47" s="26"/>
      <c r="G47" s="26"/>
      <c r="H47" s="26"/>
      <c r="I47" s="26"/>
      <c r="J47" s="26"/>
      <c r="K47" s="26"/>
      <c r="L47" s="26"/>
      <c r="M47" s="26"/>
      <c r="N47" s="26"/>
      <c r="O47" s="26"/>
      <c r="P47" s="26"/>
      <c r="Q47" s="26"/>
      <c r="R47" s="26"/>
      <c r="S47" s="26"/>
      <c r="T47" s="26"/>
      <c r="U47" s="26"/>
      <c r="V47" s="26"/>
      <c r="W47" s="26"/>
      <c r="X47" s="26"/>
      <c r="Y47" s="44"/>
      <c r="Z47" s="26" t="s">
        <v>66</v>
      </c>
      <c r="AA47" s="26" t="s">
        <v>66</v>
      </c>
      <c r="AB47" s="26" t="s">
        <v>66</v>
      </c>
      <c r="AC47" s="26" t="s">
        <v>66</v>
      </c>
      <c r="AD47" s="26" t="s">
        <v>66</v>
      </c>
      <c r="AE47" s="26" t="s">
        <v>66</v>
      </c>
      <c r="AF47" s="26" t="s">
        <v>66</v>
      </c>
      <c r="AG47" s="26" t="s">
        <v>66</v>
      </c>
      <c r="AH47" s="26" t="s">
        <v>66</v>
      </c>
      <c r="AI47" s="26" t="s">
        <v>66</v>
      </c>
      <c r="AJ47" s="26" t="s">
        <v>66</v>
      </c>
      <c r="AK47" s="26" t="s">
        <v>66</v>
      </c>
      <c r="AL47" s="26" t="s">
        <v>66</v>
      </c>
      <c r="AM47" s="62" t="s">
        <v>164</v>
      </c>
    </row>
    <row r="48" spans="1:39" ht="15" customHeight="1" x14ac:dyDescent="0.25">
      <c r="A48" s="69" t="str">
        <f>'Item Categories'!C25</f>
        <v>MEC_Uninsulated Duct and Acc</v>
      </c>
      <c r="B48" s="70"/>
      <c r="C48" s="30"/>
      <c r="D48" s="26"/>
      <c r="E48" s="26"/>
      <c r="F48" s="26"/>
      <c r="G48" s="26"/>
      <c r="H48" s="26"/>
      <c r="I48" s="26"/>
      <c r="J48" s="26"/>
      <c r="K48" s="26"/>
      <c r="L48" s="26"/>
      <c r="M48" s="26"/>
      <c r="N48" s="26"/>
      <c r="O48" s="26"/>
      <c r="P48" s="26"/>
      <c r="Q48" s="26"/>
      <c r="R48" s="26"/>
      <c r="S48" s="26"/>
      <c r="T48" s="26"/>
      <c r="U48" s="26"/>
      <c r="V48" s="28"/>
      <c r="W48" s="26"/>
      <c r="X48" s="26"/>
      <c r="Y48" s="26"/>
      <c r="Z48" s="44"/>
      <c r="AA48" s="26" t="s">
        <v>122</v>
      </c>
      <c r="AB48" s="26" t="s">
        <v>122</v>
      </c>
      <c r="AC48" s="26" t="s">
        <v>122</v>
      </c>
      <c r="AD48" s="26" t="s">
        <v>122</v>
      </c>
      <c r="AE48" s="26" t="s">
        <v>122</v>
      </c>
      <c r="AF48" s="26" t="s">
        <v>122</v>
      </c>
      <c r="AG48" s="26" t="s">
        <v>122</v>
      </c>
      <c r="AH48" s="26" t="s">
        <v>122</v>
      </c>
      <c r="AI48" s="26" t="s">
        <v>122</v>
      </c>
      <c r="AJ48" s="26" t="s">
        <v>122</v>
      </c>
      <c r="AK48" s="26" t="s">
        <v>122</v>
      </c>
      <c r="AL48" s="26" t="s">
        <v>122</v>
      </c>
      <c r="AM48" s="26" t="s">
        <v>122</v>
      </c>
    </row>
    <row r="49" spans="1:39" x14ac:dyDescent="0.25">
      <c r="A49" s="71"/>
      <c r="B49" s="72"/>
      <c r="C49" s="30"/>
      <c r="D49" s="26"/>
      <c r="E49" s="26"/>
      <c r="F49" s="26"/>
      <c r="G49" s="26"/>
      <c r="H49" s="26"/>
      <c r="I49" s="26"/>
      <c r="J49" s="26"/>
      <c r="K49" s="26"/>
      <c r="L49" s="26"/>
      <c r="M49" s="26"/>
      <c r="N49" s="26"/>
      <c r="O49" s="26"/>
      <c r="P49" s="26"/>
      <c r="Q49" s="26"/>
      <c r="R49" s="26"/>
      <c r="S49" s="26"/>
      <c r="T49" s="26"/>
      <c r="U49" s="26"/>
      <c r="V49" s="28"/>
      <c r="W49" s="28"/>
      <c r="X49" s="26"/>
      <c r="Y49" s="26"/>
      <c r="Z49" s="44"/>
      <c r="AA49" s="26" t="s">
        <v>66</v>
      </c>
      <c r="AB49" s="26" t="s">
        <v>66</v>
      </c>
      <c r="AC49" s="26" t="s">
        <v>66</v>
      </c>
      <c r="AD49" s="26" t="s">
        <v>66</v>
      </c>
      <c r="AE49" s="26" t="s">
        <v>66</v>
      </c>
      <c r="AF49" s="26" t="s">
        <v>66</v>
      </c>
      <c r="AG49" s="26" t="s">
        <v>66</v>
      </c>
      <c r="AH49" s="26" t="s">
        <v>66</v>
      </c>
      <c r="AI49" s="26" t="s">
        <v>66</v>
      </c>
      <c r="AJ49" s="26" t="s">
        <v>66</v>
      </c>
      <c r="AK49" s="26" t="s">
        <v>66</v>
      </c>
      <c r="AL49" s="26" t="s">
        <v>66</v>
      </c>
      <c r="AM49" s="26" t="s">
        <v>66</v>
      </c>
    </row>
    <row r="50" spans="1:39" ht="15" customHeight="1" x14ac:dyDescent="0.25">
      <c r="A50" s="69" t="str">
        <f>'Item Categories'!C26</f>
        <v>MEC_Duct Insulation</v>
      </c>
      <c r="B50" s="70"/>
      <c r="C50" s="30"/>
      <c r="D50" s="26"/>
      <c r="E50" s="26"/>
      <c r="F50" s="26"/>
      <c r="G50" s="26"/>
      <c r="H50" s="26"/>
      <c r="I50" s="26"/>
      <c r="J50" s="26"/>
      <c r="K50" s="26"/>
      <c r="L50" s="26"/>
      <c r="M50" s="26"/>
      <c r="N50" s="26"/>
      <c r="O50" s="26"/>
      <c r="P50" s="26"/>
      <c r="Q50" s="26"/>
      <c r="R50" s="26"/>
      <c r="S50" s="26"/>
      <c r="T50" s="26"/>
      <c r="U50" s="26"/>
      <c r="V50" s="26"/>
      <c r="W50" s="28"/>
      <c r="X50" s="26"/>
      <c r="Y50" s="27"/>
      <c r="Z50" s="26"/>
      <c r="AA50" s="44"/>
      <c r="AB50" s="26" t="s">
        <v>122</v>
      </c>
      <c r="AC50" s="26" t="s">
        <v>122</v>
      </c>
      <c r="AD50" s="26" t="s">
        <v>122</v>
      </c>
      <c r="AE50" s="26" t="s">
        <v>122</v>
      </c>
      <c r="AF50" s="26" t="s">
        <v>122</v>
      </c>
      <c r="AG50" s="26" t="s">
        <v>122</v>
      </c>
      <c r="AH50" s="26" t="s">
        <v>122</v>
      </c>
      <c r="AI50" s="26" t="s">
        <v>122</v>
      </c>
      <c r="AJ50" s="26" t="s">
        <v>122</v>
      </c>
      <c r="AK50" s="26" t="s">
        <v>122</v>
      </c>
      <c r="AL50" s="26" t="s">
        <v>122</v>
      </c>
      <c r="AM50" s="26" t="s">
        <v>122</v>
      </c>
    </row>
    <row r="51" spans="1:39" x14ac:dyDescent="0.25">
      <c r="A51" s="71"/>
      <c r="B51" s="72"/>
      <c r="C51" s="30"/>
      <c r="D51" s="26"/>
      <c r="E51" s="26"/>
      <c r="F51" s="26"/>
      <c r="G51" s="26"/>
      <c r="H51" s="26"/>
      <c r="I51" s="26"/>
      <c r="J51" s="26"/>
      <c r="K51" s="26"/>
      <c r="L51" s="26"/>
      <c r="M51" s="26"/>
      <c r="N51" s="26"/>
      <c r="O51" s="26"/>
      <c r="P51" s="26"/>
      <c r="Q51" s="26"/>
      <c r="R51" s="26"/>
      <c r="S51" s="26"/>
      <c r="T51" s="26"/>
      <c r="U51" s="26"/>
      <c r="V51" s="26"/>
      <c r="W51" s="28"/>
      <c r="X51" s="26"/>
      <c r="Y51" s="27"/>
      <c r="Z51" s="26"/>
      <c r="AA51" s="44"/>
      <c r="AB51" s="26" t="s">
        <v>66</v>
      </c>
      <c r="AC51" s="26" t="s">
        <v>66</v>
      </c>
      <c r="AD51" s="26" t="s">
        <v>66</v>
      </c>
      <c r="AE51" s="26" t="s">
        <v>66</v>
      </c>
      <c r="AF51" s="26" t="s">
        <v>66</v>
      </c>
      <c r="AG51" s="26" t="s">
        <v>66</v>
      </c>
      <c r="AH51" s="26" t="s">
        <v>66</v>
      </c>
      <c r="AI51" s="26" t="s">
        <v>66</v>
      </c>
      <c r="AJ51" s="26" t="s">
        <v>66</v>
      </c>
      <c r="AK51" s="26" t="s">
        <v>66</v>
      </c>
      <c r="AL51" s="26" t="s">
        <v>66</v>
      </c>
      <c r="AM51" s="26" t="s">
        <v>66</v>
      </c>
    </row>
    <row r="52" spans="1:39" ht="15" customHeight="1" x14ac:dyDescent="0.25">
      <c r="A52" s="69" t="str">
        <f>'Item Categories'!C27</f>
        <v>MEC_Pipe Insulation</v>
      </c>
      <c r="B52" s="70"/>
      <c r="C52" s="30"/>
      <c r="D52" s="26"/>
      <c r="E52" s="26"/>
      <c r="F52" s="26"/>
      <c r="G52" s="26"/>
      <c r="H52" s="26"/>
      <c r="I52" s="26"/>
      <c r="J52" s="26"/>
      <c r="K52" s="26"/>
      <c r="L52" s="26"/>
      <c r="M52" s="26"/>
      <c r="N52" s="26"/>
      <c r="O52" s="26"/>
      <c r="P52" s="26"/>
      <c r="Q52" s="26"/>
      <c r="R52" s="26"/>
      <c r="S52" s="26"/>
      <c r="T52" s="26"/>
      <c r="U52" s="26"/>
      <c r="V52" s="26"/>
      <c r="W52" s="26"/>
      <c r="X52" s="26"/>
      <c r="Y52" s="26"/>
      <c r="Z52" s="26"/>
      <c r="AA52" s="30"/>
      <c r="AB52" s="44"/>
      <c r="AC52" s="26" t="s">
        <v>122</v>
      </c>
      <c r="AD52" s="26" t="s">
        <v>122</v>
      </c>
      <c r="AE52" s="26" t="s">
        <v>122</v>
      </c>
      <c r="AF52" s="26" t="s">
        <v>122</v>
      </c>
      <c r="AG52" s="26" t="s">
        <v>122</v>
      </c>
      <c r="AH52" s="26" t="s">
        <v>122</v>
      </c>
      <c r="AI52" s="26" t="s">
        <v>122</v>
      </c>
      <c r="AJ52" s="26" t="s">
        <v>122</v>
      </c>
      <c r="AK52" s="26" t="s">
        <v>122</v>
      </c>
      <c r="AL52" s="26" t="s">
        <v>122</v>
      </c>
      <c r="AM52" s="26" t="s">
        <v>122</v>
      </c>
    </row>
    <row r="53" spans="1:39" x14ac:dyDescent="0.25">
      <c r="A53" s="71"/>
      <c r="B53" s="72"/>
      <c r="C53" s="30"/>
      <c r="D53" s="26"/>
      <c r="E53" s="26"/>
      <c r="F53" s="26"/>
      <c r="G53" s="26"/>
      <c r="H53" s="26"/>
      <c r="I53" s="26"/>
      <c r="J53" s="26"/>
      <c r="K53" s="26"/>
      <c r="L53" s="26"/>
      <c r="M53" s="26"/>
      <c r="N53" s="26"/>
      <c r="O53" s="26"/>
      <c r="P53" s="26"/>
      <c r="Q53" s="26"/>
      <c r="R53" s="26"/>
      <c r="S53" s="26"/>
      <c r="T53" s="26"/>
      <c r="U53" s="26"/>
      <c r="V53" s="26"/>
      <c r="W53" s="26"/>
      <c r="X53" s="26"/>
      <c r="Y53" s="26"/>
      <c r="Z53" s="26"/>
      <c r="AA53" s="31"/>
      <c r="AB53" s="44"/>
      <c r="AC53" s="26" t="s">
        <v>66</v>
      </c>
      <c r="AD53" s="26" t="s">
        <v>66</v>
      </c>
      <c r="AE53" s="26" t="s">
        <v>66</v>
      </c>
      <c r="AF53" s="26" t="s">
        <v>66</v>
      </c>
      <c r="AG53" s="26" t="s">
        <v>66</v>
      </c>
      <c r="AH53" s="26" t="s">
        <v>66</v>
      </c>
      <c r="AI53" s="26" t="s">
        <v>66</v>
      </c>
      <c r="AJ53" s="26" t="s">
        <v>66</v>
      </c>
      <c r="AK53" s="26" t="s">
        <v>66</v>
      </c>
      <c r="AL53" s="26" t="s">
        <v>66</v>
      </c>
      <c r="AM53" s="26" t="s">
        <v>66</v>
      </c>
    </row>
    <row r="54" spans="1:39" ht="15" customHeight="1" x14ac:dyDescent="0.25">
      <c r="A54" s="69" t="str">
        <f>'Item Categories'!C28</f>
        <v>MEC_Uninsulated Pipes and Acc</v>
      </c>
      <c r="B54" s="70"/>
      <c r="C54" s="30"/>
      <c r="D54" s="26"/>
      <c r="E54" s="26"/>
      <c r="F54" s="26"/>
      <c r="G54" s="26"/>
      <c r="H54" s="26"/>
      <c r="I54" s="26"/>
      <c r="J54" s="26"/>
      <c r="K54" s="26"/>
      <c r="L54" s="26"/>
      <c r="M54" s="26"/>
      <c r="N54" s="26"/>
      <c r="O54" s="26"/>
      <c r="P54" s="26"/>
      <c r="Q54" s="26"/>
      <c r="R54" s="26"/>
      <c r="S54" s="26"/>
      <c r="T54" s="26"/>
      <c r="U54" s="26"/>
      <c r="V54" s="26"/>
      <c r="W54" s="26"/>
      <c r="X54" s="26"/>
      <c r="Y54" s="29"/>
      <c r="Z54" s="28"/>
      <c r="AA54" s="26"/>
      <c r="AB54" s="26"/>
      <c r="AC54" s="44"/>
      <c r="AD54" s="26" t="s">
        <v>122</v>
      </c>
      <c r="AE54" s="26" t="s">
        <v>122</v>
      </c>
      <c r="AF54" s="26" t="s">
        <v>122</v>
      </c>
      <c r="AG54" s="26" t="s">
        <v>122</v>
      </c>
      <c r="AH54" s="26" t="s">
        <v>122</v>
      </c>
      <c r="AI54" s="26" t="s">
        <v>122</v>
      </c>
      <c r="AJ54" s="26" t="s">
        <v>122</v>
      </c>
      <c r="AK54" s="26" t="s">
        <v>122</v>
      </c>
      <c r="AL54" s="26" t="s">
        <v>122</v>
      </c>
      <c r="AM54" s="26" t="s">
        <v>122</v>
      </c>
    </row>
    <row r="55" spans="1:39" ht="27" customHeight="1" x14ac:dyDescent="0.25">
      <c r="A55" s="71"/>
      <c r="B55" s="72"/>
      <c r="D55" s="32"/>
      <c r="E55" s="32"/>
      <c r="F55" s="32"/>
      <c r="G55" s="32"/>
      <c r="H55" s="32"/>
      <c r="I55" s="32"/>
      <c r="J55" s="32"/>
      <c r="K55" s="32"/>
      <c r="L55" s="32"/>
      <c r="M55" s="32"/>
      <c r="N55" s="32"/>
      <c r="O55" s="32"/>
      <c r="P55" s="32"/>
      <c r="Q55" s="32"/>
      <c r="R55" s="32"/>
      <c r="S55" s="32"/>
      <c r="T55" s="32"/>
      <c r="U55" s="32"/>
      <c r="V55" s="32"/>
      <c r="W55" s="32"/>
      <c r="X55" s="26"/>
      <c r="Y55" s="33"/>
      <c r="Z55" s="34"/>
      <c r="AA55" s="26"/>
      <c r="AB55" s="26"/>
      <c r="AC55" s="44"/>
      <c r="AD55" s="26" t="s">
        <v>66</v>
      </c>
      <c r="AE55" s="26" t="s">
        <v>66</v>
      </c>
      <c r="AF55" s="26" t="s">
        <v>66</v>
      </c>
      <c r="AG55" s="26" t="s">
        <v>66</v>
      </c>
      <c r="AH55" s="26" t="s">
        <v>66</v>
      </c>
      <c r="AI55" s="26" t="s">
        <v>66</v>
      </c>
      <c r="AJ55" s="26" t="s">
        <v>66</v>
      </c>
      <c r="AK55" s="26" t="s">
        <v>66</v>
      </c>
      <c r="AL55" s="26" t="s">
        <v>66</v>
      </c>
      <c r="AM55" s="26" t="s">
        <v>66</v>
      </c>
    </row>
    <row r="56" spans="1:39" ht="15" customHeight="1" x14ac:dyDescent="0.25">
      <c r="A56" s="69" t="str">
        <f>'Item Categories'!C29</f>
        <v>MEC_Uninulated Flexi duct</v>
      </c>
      <c r="B56" s="70"/>
      <c r="C56" s="30"/>
      <c r="D56" s="26"/>
      <c r="E56" s="26"/>
      <c r="F56" s="26"/>
      <c r="G56" s="26"/>
      <c r="H56" s="26"/>
      <c r="I56" s="26"/>
      <c r="J56" s="26"/>
      <c r="K56" s="26"/>
      <c r="L56" s="26"/>
      <c r="M56" s="26"/>
      <c r="N56" s="26"/>
      <c r="O56" s="26"/>
      <c r="P56" s="26"/>
      <c r="Q56" s="26"/>
      <c r="R56" s="26"/>
      <c r="S56" s="26"/>
      <c r="T56" s="26"/>
      <c r="U56" s="26"/>
      <c r="V56" s="26"/>
      <c r="W56" s="26"/>
      <c r="X56" s="26"/>
      <c r="Y56" s="27"/>
      <c r="Z56" s="28"/>
      <c r="AA56" s="31"/>
      <c r="AB56" s="28"/>
      <c r="AC56" s="26"/>
      <c r="AD56" s="44"/>
      <c r="AE56" s="26" t="s">
        <v>122</v>
      </c>
      <c r="AF56" s="26" t="s">
        <v>122</v>
      </c>
      <c r="AG56" s="26" t="s">
        <v>122</v>
      </c>
      <c r="AH56" s="26" t="s">
        <v>122</v>
      </c>
      <c r="AI56" s="26" t="s">
        <v>122</v>
      </c>
      <c r="AJ56" s="26" t="s">
        <v>122</v>
      </c>
      <c r="AK56" s="26" t="s">
        <v>122</v>
      </c>
      <c r="AL56" s="44"/>
      <c r="AM56" s="44"/>
    </row>
    <row r="57" spans="1:39" x14ac:dyDescent="0.25">
      <c r="A57" s="71"/>
      <c r="B57" s="72"/>
      <c r="C57" s="30"/>
      <c r="D57" s="26"/>
      <c r="E57" s="26"/>
      <c r="F57" s="26"/>
      <c r="G57" s="26"/>
      <c r="H57" s="26"/>
      <c r="I57" s="26"/>
      <c r="J57" s="26"/>
      <c r="K57" s="26"/>
      <c r="L57" s="26"/>
      <c r="M57" s="26"/>
      <c r="N57" s="26"/>
      <c r="O57" s="26"/>
      <c r="P57" s="26"/>
      <c r="Q57" s="26"/>
      <c r="R57" s="26"/>
      <c r="S57" s="26"/>
      <c r="T57" s="26"/>
      <c r="U57" s="26"/>
      <c r="V57" s="26"/>
      <c r="W57" s="26"/>
      <c r="X57" s="26"/>
      <c r="Y57" s="27"/>
      <c r="Z57" s="28"/>
      <c r="AA57" s="31"/>
      <c r="AB57" s="28"/>
      <c r="AC57" s="26"/>
      <c r="AD57" s="44"/>
      <c r="AE57" s="26" t="s">
        <v>66</v>
      </c>
      <c r="AF57" s="26" t="s">
        <v>66</v>
      </c>
      <c r="AG57" s="26" t="s">
        <v>66</v>
      </c>
      <c r="AH57" s="26" t="s">
        <v>66</v>
      </c>
      <c r="AI57" s="26" t="s">
        <v>66</v>
      </c>
      <c r="AJ57" s="26" t="s">
        <v>66</v>
      </c>
      <c r="AK57" s="26" t="s">
        <v>66</v>
      </c>
      <c r="AL57" s="44"/>
      <c r="AM57" s="44"/>
    </row>
    <row r="58" spans="1:39" x14ac:dyDescent="0.25">
      <c r="A58" s="69" t="str">
        <f>'Item Categories'!C30</f>
        <v>MEC_Equipment</v>
      </c>
      <c r="B58" s="70"/>
      <c r="C58" s="40"/>
      <c r="D58" s="35"/>
      <c r="E58" s="35"/>
      <c r="F58" s="35"/>
      <c r="G58" s="35"/>
      <c r="H58" s="35"/>
      <c r="I58" s="35"/>
      <c r="J58" s="35"/>
      <c r="K58" s="35"/>
      <c r="L58" s="35"/>
      <c r="M58" s="35"/>
      <c r="N58" s="35"/>
      <c r="O58" s="35"/>
      <c r="P58" s="35"/>
      <c r="Q58" s="35"/>
      <c r="R58" s="35"/>
      <c r="S58" s="35"/>
      <c r="T58" s="35"/>
      <c r="U58" s="35"/>
      <c r="V58" s="35"/>
      <c r="W58" s="35"/>
      <c r="X58" s="26"/>
      <c r="Y58" s="35"/>
      <c r="Z58" s="35"/>
      <c r="AA58" s="36"/>
      <c r="AB58" s="26"/>
      <c r="AC58" s="26"/>
      <c r="AD58" s="26"/>
      <c r="AE58" s="44"/>
      <c r="AF58" s="26" t="s">
        <v>123</v>
      </c>
      <c r="AG58" s="26" t="s">
        <v>123</v>
      </c>
      <c r="AH58" s="26" t="s">
        <v>123</v>
      </c>
      <c r="AI58" s="26" t="s">
        <v>123</v>
      </c>
      <c r="AJ58" s="26" t="s">
        <v>123</v>
      </c>
      <c r="AK58" s="26" t="s">
        <v>123</v>
      </c>
      <c r="AL58" s="26" t="s">
        <v>123</v>
      </c>
      <c r="AM58" s="26" t="s">
        <v>123</v>
      </c>
    </row>
    <row r="59" spans="1:39" x14ac:dyDescent="0.25">
      <c r="A59" s="71"/>
      <c r="B59" s="72"/>
      <c r="C59" s="30"/>
      <c r="D59" s="26"/>
      <c r="E59" s="26"/>
      <c r="F59" s="26"/>
      <c r="G59" s="26"/>
      <c r="H59" s="26"/>
      <c r="I59" s="26"/>
      <c r="J59" s="26"/>
      <c r="K59" s="26"/>
      <c r="L59" s="26"/>
      <c r="M59" s="26"/>
      <c r="N59" s="26"/>
      <c r="O59" s="26"/>
      <c r="P59" s="26"/>
      <c r="Q59" s="26"/>
      <c r="R59" s="26"/>
      <c r="S59" s="26"/>
      <c r="T59" s="26"/>
      <c r="U59" s="26"/>
      <c r="V59" s="26"/>
      <c r="W59" s="26"/>
      <c r="X59" s="26"/>
      <c r="Y59" s="26"/>
      <c r="Z59" s="26"/>
      <c r="AA59" s="28"/>
      <c r="AB59" s="26"/>
      <c r="AC59" s="26"/>
      <c r="AD59" s="26"/>
      <c r="AE59" s="44"/>
      <c r="AF59" s="26" t="s">
        <v>66</v>
      </c>
      <c r="AG59" s="26" t="s">
        <v>66</v>
      </c>
      <c r="AH59" s="26" t="s">
        <v>66</v>
      </c>
      <c r="AI59" s="26" t="s">
        <v>66</v>
      </c>
      <c r="AJ59" s="26" t="s">
        <v>66</v>
      </c>
      <c r="AK59" s="26" t="s">
        <v>66</v>
      </c>
      <c r="AL59" s="26" t="s">
        <v>66</v>
      </c>
      <c r="AM59" s="26" t="s">
        <v>66</v>
      </c>
    </row>
    <row r="60" spans="1:39" ht="15" customHeight="1" x14ac:dyDescent="0.25">
      <c r="A60" s="69" t="str">
        <f>'Item Categories'!C31</f>
        <v>ELE_Cable Tray and Fittings</v>
      </c>
      <c r="B60" s="70"/>
      <c r="C60" s="30"/>
      <c r="D60" s="26"/>
      <c r="E60" s="26"/>
      <c r="F60" s="26"/>
      <c r="G60" s="26"/>
      <c r="H60" s="26"/>
      <c r="I60" s="26"/>
      <c r="J60" s="26"/>
      <c r="K60" s="26"/>
      <c r="L60" s="26"/>
      <c r="M60" s="26"/>
      <c r="N60" s="26"/>
      <c r="O60" s="26"/>
      <c r="P60" s="26"/>
      <c r="Q60" s="26"/>
      <c r="R60" s="26"/>
      <c r="S60" s="26"/>
      <c r="T60" s="26"/>
      <c r="U60" s="26"/>
      <c r="V60" s="26"/>
      <c r="W60" s="26"/>
      <c r="X60" s="26"/>
      <c r="Y60" s="26"/>
      <c r="Z60" s="26"/>
      <c r="AA60" s="26"/>
      <c r="AB60" s="28"/>
      <c r="AC60" s="26"/>
      <c r="AD60" s="26"/>
      <c r="AE60" s="26"/>
      <c r="AF60" s="26" t="s">
        <v>123</v>
      </c>
      <c r="AG60" s="26" t="s">
        <v>123</v>
      </c>
      <c r="AH60" s="26" t="s">
        <v>123</v>
      </c>
      <c r="AI60" s="26" t="s">
        <v>123</v>
      </c>
      <c r="AJ60" s="26" t="s">
        <v>123</v>
      </c>
      <c r="AK60" s="26" t="s">
        <v>123</v>
      </c>
      <c r="AL60" s="26" t="s">
        <v>123</v>
      </c>
      <c r="AM60" s="26" t="s">
        <v>123</v>
      </c>
    </row>
    <row r="61" spans="1:39" x14ac:dyDescent="0.25">
      <c r="A61" s="71"/>
      <c r="B61" s="72"/>
      <c r="C61" s="30"/>
      <c r="D61" s="26"/>
      <c r="E61" s="26"/>
      <c r="F61" s="26"/>
      <c r="G61" s="26"/>
      <c r="H61" s="26"/>
      <c r="I61" s="26"/>
      <c r="J61" s="26"/>
      <c r="K61" s="26"/>
      <c r="L61" s="26"/>
      <c r="M61" s="26"/>
      <c r="N61" s="26"/>
      <c r="O61" s="26"/>
      <c r="P61" s="26"/>
      <c r="Q61" s="26"/>
      <c r="R61" s="26"/>
      <c r="S61" s="26"/>
      <c r="T61" s="26"/>
      <c r="U61" s="26"/>
      <c r="V61" s="26"/>
      <c r="W61" s="26"/>
      <c r="X61" s="26"/>
      <c r="Y61" s="26"/>
      <c r="Z61" s="26"/>
      <c r="AA61" s="26"/>
      <c r="AB61" s="28"/>
      <c r="AC61" s="26"/>
      <c r="AD61" s="26"/>
      <c r="AE61" s="26"/>
      <c r="AF61" s="26" t="s">
        <v>176</v>
      </c>
      <c r="AG61" s="26" t="s">
        <v>66</v>
      </c>
      <c r="AH61" s="26" t="s">
        <v>66</v>
      </c>
      <c r="AI61" s="26" t="s">
        <v>66</v>
      </c>
      <c r="AJ61" s="26" t="s">
        <v>66</v>
      </c>
      <c r="AK61" s="26" t="s">
        <v>66</v>
      </c>
      <c r="AL61" s="26" t="s">
        <v>66</v>
      </c>
      <c r="AM61" s="26" t="s">
        <v>66</v>
      </c>
    </row>
    <row r="62" spans="1:39" x14ac:dyDescent="0.25">
      <c r="A62" s="69" t="str">
        <f>'Item Categories'!C32</f>
        <v>ELE_Conduit*</v>
      </c>
      <c r="B62" s="70"/>
      <c r="C62" s="30"/>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44"/>
      <c r="AH62" s="26" t="s">
        <v>123</v>
      </c>
      <c r="AI62" s="26" t="s">
        <v>123</v>
      </c>
      <c r="AJ62" s="26" t="s">
        <v>123</v>
      </c>
      <c r="AK62" s="26" t="s">
        <v>123</v>
      </c>
      <c r="AL62" s="26" t="s">
        <v>123</v>
      </c>
      <c r="AM62" s="26" t="s">
        <v>123</v>
      </c>
    </row>
    <row r="63" spans="1:39" x14ac:dyDescent="0.25">
      <c r="A63" s="71"/>
      <c r="B63" s="72"/>
      <c r="C63" s="30"/>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44"/>
      <c r="AH63" s="26" t="s">
        <v>66</v>
      </c>
      <c r="AI63" s="26" t="s">
        <v>66</v>
      </c>
      <c r="AJ63" s="26" t="s">
        <v>66</v>
      </c>
      <c r="AK63" s="26" t="s">
        <v>66</v>
      </c>
      <c r="AL63" s="26" t="s">
        <v>66</v>
      </c>
      <c r="AM63" s="26" t="s">
        <v>66</v>
      </c>
    </row>
    <row r="64" spans="1:39" ht="15" customHeight="1" x14ac:dyDescent="0.25">
      <c r="A64" s="69" t="str">
        <f>'Item Categories'!C33</f>
        <v>ELE_Electrical Equip.</v>
      </c>
      <c r="B64" s="70"/>
      <c r="C64" s="41"/>
      <c r="D64" s="5"/>
      <c r="E64" s="5"/>
      <c r="F64" s="5"/>
      <c r="G64" s="5"/>
      <c r="H64" s="5"/>
      <c r="I64" s="5"/>
      <c r="J64" s="5"/>
      <c r="K64" s="5"/>
      <c r="L64" s="5"/>
      <c r="M64" s="5"/>
      <c r="N64" s="5"/>
      <c r="O64" s="5"/>
      <c r="P64" s="5"/>
      <c r="Q64" s="5"/>
      <c r="R64" s="5"/>
      <c r="S64" s="5"/>
      <c r="T64" s="5"/>
      <c r="U64" s="5"/>
      <c r="V64" s="5"/>
      <c r="W64" s="5"/>
      <c r="X64" s="26"/>
      <c r="Y64" s="5"/>
      <c r="Z64" s="5"/>
      <c r="AA64" s="5"/>
      <c r="AB64" s="5"/>
      <c r="AC64" s="5"/>
      <c r="AD64" s="26"/>
      <c r="AE64" s="26"/>
      <c r="AF64" s="26"/>
      <c r="AG64" s="26"/>
      <c r="AH64" s="44"/>
      <c r="AI64" s="26" t="s">
        <v>123</v>
      </c>
      <c r="AJ64" s="26" t="s">
        <v>123</v>
      </c>
      <c r="AK64" s="26" t="s">
        <v>122</v>
      </c>
      <c r="AL64" s="26" t="s">
        <v>123</v>
      </c>
      <c r="AM64" s="26" t="s">
        <v>123</v>
      </c>
    </row>
    <row r="65" spans="1:39" x14ac:dyDescent="0.25">
      <c r="A65" s="71"/>
      <c r="B65" s="72"/>
      <c r="C65" s="30"/>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44"/>
      <c r="AI65" s="26" t="s">
        <v>66</v>
      </c>
      <c r="AJ65" s="26" t="s">
        <v>66</v>
      </c>
      <c r="AK65" s="26" t="s">
        <v>66</v>
      </c>
      <c r="AL65" s="26" t="s">
        <v>66</v>
      </c>
      <c r="AM65" s="62" t="s">
        <v>164</v>
      </c>
    </row>
    <row r="66" spans="1:39" x14ac:dyDescent="0.25">
      <c r="A66" s="69" t="str">
        <f>'Item Categories'!C34</f>
        <v>ELE_Small Devices</v>
      </c>
      <c r="B66" s="70"/>
      <c r="C66" s="41"/>
      <c r="D66" s="5"/>
      <c r="E66" s="5"/>
      <c r="F66" s="5"/>
      <c r="G66" s="5"/>
      <c r="H66" s="5"/>
      <c r="I66" s="5"/>
      <c r="J66" s="5"/>
      <c r="K66" s="5"/>
      <c r="L66" s="5"/>
      <c r="M66" s="5"/>
      <c r="N66" s="5"/>
      <c r="O66" s="5"/>
      <c r="P66" s="5"/>
      <c r="Q66" s="5"/>
      <c r="R66" s="5"/>
      <c r="S66" s="5"/>
      <c r="T66" s="5"/>
      <c r="U66" s="5"/>
      <c r="V66" s="5"/>
      <c r="W66" s="5"/>
      <c r="X66" s="26"/>
      <c r="Y66" s="5"/>
      <c r="Z66" s="5"/>
      <c r="AA66" s="5"/>
      <c r="AB66" s="5"/>
      <c r="AC66" s="5"/>
      <c r="AD66" s="5"/>
      <c r="AE66" s="26"/>
      <c r="AF66" s="26"/>
      <c r="AG66" s="26"/>
      <c r="AH66" s="26"/>
      <c r="AI66" s="26" t="s">
        <v>123</v>
      </c>
      <c r="AJ66" s="26" t="s">
        <v>123</v>
      </c>
      <c r="AK66" s="26" t="s">
        <v>123</v>
      </c>
      <c r="AL66" s="26" t="s">
        <v>123</v>
      </c>
      <c r="AM66" s="26" t="s">
        <v>123</v>
      </c>
    </row>
    <row r="67" spans="1:39" x14ac:dyDescent="0.25">
      <c r="A67" s="71"/>
      <c r="B67" s="72"/>
      <c r="C67" s="30"/>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5"/>
      <c r="AE67" s="28"/>
      <c r="AF67" s="26"/>
      <c r="AG67" s="28"/>
      <c r="AH67" s="26"/>
      <c r="AI67" s="26" t="s">
        <v>66</v>
      </c>
      <c r="AJ67" s="26" t="s">
        <v>66</v>
      </c>
      <c r="AK67" s="26" t="s">
        <v>66</v>
      </c>
      <c r="AL67" s="26" t="s">
        <v>66</v>
      </c>
      <c r="AM67" s="26" t="s">
        <v>66</v>
      </c>
    </row>
    <row r="68" spans="1:39" x14ac:dyDescent="0.25">
      <c r="A68" s="69" t="str">
        <f>'Item Categories'!C35</f>
        <v>ELE_Services Lighting Fixtures</v>
      </c>
      <c r="B68" s="70"/>
      <c r="C68" s="41"/>
      <c r="D68" s="5"/>
      <c r="E68" s="5"/>
      <c r="F68" s="5"/>
      <c r="G68" s="5"/>
      <c r="H68" s="5"/>
      <c r="I68" s="5"/>
      <c r="J68" s="5"/>
      <c r="K68" s="5"/>
      <c r="L68" s="5"/>
      <c r="M68" s="5"/>
      <c r="N68" s="5"/>
      <c r="O68" s="5"/>
      <c r="P68" s="5"/>
      <c r="Q68" s="5"/>
      <c r="R68" s="5"/>
      <c r="S68" s="5"/>
      <c r="T68" s="5"/>
      <c r="U68" s="5"/>
      <c r="V68" s="5"/>
      <c r="W68" s="5"/>
      <c r="X68" s="26"/>
      <c r="Y68" s="5"/>
      <c r="Z68" s="5"/>
      <c r="AA68" s="5"/>
      <c r="AB68" s="5"/>
      <c r="AC68" s="5"/>
      <c r="AD68" s="5"/>
      <c r="AE68" s="5"/>
      <c r="AF68" s="26"/>
      <c r="AG68" s="5"/>
      <c r="AH68" s="26"/>
      <c r="AI68" s="5"/>
      <c r="AJ68" s="26" t="s">
        <v>123</v>
      </c>
      <c r="AK68" s="26" t="s">
        <v>123</v>
      </c>
      <c r="AL68" s="26" t="s">
        <v>123</v>
      </c>
      <c r="AM68" s="26" t="s">
        <v>123</v>
      </c>
    </row>
    <row r="69" spans="1:39" x14ac:dyDescent="0.25">
      <c r="A69" s="71"/>
      <c r="B69" s="72"/>
      <c r="C69" s="30"/>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5"/>
      <c r="AE69" s="5"/>
      <c r="AF69" s="28"/>
      <c r="AG69" s="5"/>
      <c r="AH69" s="28"/>
      <c r="AI69" s="5"/>
      <c r="AJ69" s="26" t="s">
        <v>66</v>
      </c>
      <c r="AK69" s="26" t="s">
        <v>66</v>
      </c>
      <c r="AL69" s="26" t="s">
        <v>66</v>
      </c>
      <c r="AM69" s="26" t="s">
        <v>66</v>
      </c>
    </row>
    <row r="70" spans="1:39" ht="15" customHeight="1" x14ac:dyDescent="0.25">
      <c r="A70" s="69" t="str">
        <f>'Item Categories'!C36</f>
        <v>FIR_Fire Pipes</v>
      </c>
      <c r="B70" s="70"/>
      <c r="C70" s="41"/>
      <c r="D70" s="5"/>
      <c r="E70" s="5"/>
      <c r="F70" s="5"/>
      <c r="G70" s="5"/>
      <c r="H70" s="5"/>
      <c r="I70" s="5"/>
      <c r="J70" s="5"/>
      <c r="K70" s="5"/>
      <c r="L70" s="5"/>
      <c r="M70" s="5"/>
      <c r="N70" s="5"/>
      <c r="O70" s="5"/>
      <c r="P70" s="5"/>
      <c r="Q70" s="5"/>
      <c r="R70" s="5"/>
      <c r="S70" s="5"/>
      <c r="T70" s="5"/>
      <c r="U70" s="5"/>
      <c r="V70" s="5"/>
      <c r="W70" s="5"/>
      <c r="X70" s="26"/>
      <c r="Y70" s="5"/>
      <c r="Z70" s="5"/>
      <c r="AA70" s="5"/>
      <c r="AB70" s="5"/>
      <c r="AC70" s="5"/>
      <c r="AD70" s="5"/>
      <c r="AE70" s="5"/>
      <c r="AF70" s="26"/>
      <c r="AG70" s="5"/>
      <c r="AH70" s="26"/>
      <c r="AI70" s="5"/>
      <c r="AJ70" s="26"/>
      <c r="AK70" s="44"/>
      <c r="AL70" s="26" t="s">
        <v>122</v>
      </c>
      <c r="AM70" s="26" t="s">
        <v>122</v>
      </c>
    </row>
    <row r="71" spans="1:39" x14ac:dyDescent="0.25">
      <c r="A71" s="71"/>
      <c r="B71" s="72"/>
      <c r="C71" s="30"/>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5"/>
      <c r="AE71" s="5"/>
      <c r="AF71" s="28"/>
      <c r="AG71" s="5"/>
      <c r="AH71" s="28"/>
      <c r="AI71" s="5"/>
      <c r="AJ71" s="28"/>
      <c r="AK71" s="44"/>
      <c r="AL71" s="26" t="s">
        <v>66</v>
      </c>
      <c r="AM71" s="26" t="s">
        <v>66</v>
      </c>
    </row>
    <row r="72" spans="1:39" ht="15" customHeight="1" x14ac:dyDescent="0.25">
      <c r="A72" s="69" t="str">
        <f>'Item Categories'!C37</f>
        <v>FIR_Sprinklers Heads</v>
      </c>
      <c r="B72" s="70"/>
      <c r="C72" s="41"/>
      <c r="D72" s="5"/>
      <c r="E72" s="5"/>
      <c r="F72" s="5"/>
      <c r="G72" s="5"/>
      <c r="H72" s="5"/>
      <c r="I72" s="5"/>
      <c r="J72" s="5"/>
      <c r="K72" s="5"/>
      <c r="L72" s="5"/>
      <c r="M72" s="5"/>
      <c r="N72" s="5"/>
      <c r="O72" s="5"/>
      <c r="P72" s="5"/>
      <c r="Q72" s="5"/>
      <c r="R72" s="5"/>
      <c r="S72" s="5"/>
      <c r="T72" s="5"/>
      <c r="U72" s="5"/>
      <c r="V72" s="5"/>
      <c r="W72" s="5"/>
      <c r="X72" s="26"/>
      <c r="Y72" s="5"/>
      <c r="Z72" s="5"/>
      <c r="AA72" s="5"/>
      <c r="AB72" s="5"/>
      <c r="AC72" s="5"/>
      <c r="AD72" s="5"/>
      <c r="AE72" s="5"/>
      <c r="AF72" s="26"/>
      <c r="AG72" s="5"/>
      <c r="AH72" s="26"/>
      <c r="AI72" s="5"/>
      <c r="AJ72" s="26"/>
      <c r="AK72" s="5"/>
      <c r="AL72" s="26" t="s">
        <v>123</v>
      </c>
      <c r="AM72" s="26" t="s">
        <v>123</v>
      </c>
    </row>
    <row r="73" spans="1:39" x14ac:dyDescent="0.25">
      <c r="A73" s="71"/>
      <c r="B73" s="72"/>
      <c r="C73" s="30"/>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5"/>
      <c r="AE73" s="5"/>
      <c r="AF73" s="28"/>
      <c r="AG73" s="5"/>
      <c r="AH73" s="28"/>
      <c r="AI73" s="5"/>
      <c r="AJ73" s="28"/>
      <c r="AK73" s="5"/>
      <c r="AL73" s="26" t="s">
        <v>65</v>
      </c>
      <c r="AM73" s="26" t="s">
        <v>164</v>
      </c>
    </row>
    <row r="74" spans="1:39" x14ac:dyDescent="0.25">
      <c r="A74" s="69" t="str">
        <f>'Item Categories'!C38</f>
        <v>FIR_Heat or Smoke Detectors</v>
      </c>
      <c r="B74" s="70"/>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26" t="s">
        <v>123</v>
      </c>
    </row>
    <row r="75" spans="1:39" x14ac:dyDescent="0.25">
      <c r="A75" s="71"/>
      <c r="B75" s="72"/>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26" t="s">
        <v>65</v>
      </c>
    </row>
    <row r="76" spans="1:39" x14ac:dyDescent="0.25">
      <c r="A76" s="39"/>
      <c r="B76" s="38"/>
    </row>
    <row r="77" spans="1:39" x14ac:dyDescent="0.25">
      <c r="A77" s="39"/>
      <c r="B77" s="38"/>
    </row>
    <row r="78" spans="1:39" x14ac:dyDescent="0.25">
      <c r="A78" s="39"/>
      <c r="B78" s="38"/>
    </row>
    <row r="79" spans="1:39" x14ac:dyDescent="0.25">
      <c r="A79" s="39"/>
      <c r="B79" s="38"/>
    </row>
    <row r="80" spans="1:39" x14ac:dyDescent="0.25">
      <c r="A80" s="39"/>
      <c r="B80" s="38"/>
    </row>
    <row r="81" spans="1:2" x14ac:dyDescent="0.25">
      <c r="A81" s="39"/>
      <c r="B81" s="38"/>
    </row>
  </sheetData>
  <mergeCells count="37">
    <mergeCell ref="A64:B65"/>
    <mergeCell ref="A66:B67"/>
    <mergeCell ref="A68:B69"/>
    <mergeCell ref="A62:B63"/>
    <mergeCell ref="A54:B55"/>
    <mergeCell ref="A56:B57"/>
    <mergeCell ref="A58:B59"/>
    <mergeCell ref="A60:B61"/>
    <mergeCell ref="A20:B21"/>
    <mergeCell ref="A52:B53"/>
    <mergeCell ref="A22:B23"/>
    <mergeCell ref="A46:B47"/>
    <mergeCell ref="A48:B49"/>
    <mergeCell ref="A50:B51"/>
    <mergeCell ref="A34:B35"/>
    <mergeCell ref="A36:B37"/>
    <mergeCell ref="A38:B39"/>
    <mergeCell ref="A40:B41"/>
    <mergeCell ref="A42:B43"/>
    <mergeCell ref="A44:B45"/>
    <mergeCell ref="A26:B27"/>
    <mergeCell ref="A74:B75"/>
    <mergeCell ref="A70:B71"/>
    <mergeCell ref="A72:B73"/>
    <mergeCell ref="A2:B3"/>
    <mergeCell ref="A4:B5"/>
    <mergeCell ref="A6:B7"/>
    <mergeCell ref="A8:B9"/>
    <mergeCell ref="A10:B11"/>
    <mergeCell ref="A12:B13"/>
    <mergeCell ref="A24:B25"/>
    <mergeCell ref="A28:B29"/>
    <mergeCell ref="A30:B31"/>
    <mergeCell ref="A32:B33"/>
    <mergeCell ref="A14:B15"/>
    <mergeCell ref="A16:B17"/>
    <mergeCell ref="A18:B19"/>
  </mergeCells>
  <phoneticPr fontId="7" type="noConversion"/>
  <conditionalFormatting sqref="C65:AC65 C67:AC67 C69:AC69 C71:AC71 C73:AC73">
    <cfRule type="cellIs" dxfId="4305" priority="6749" operator="equal">
      <formula>"C"</formula>
    </cfRule>
    <cfRule type="cellIs" dxfId="4304" priority="6750" operator="equal">
      <formula>"C4"</formula>
    </cfRule>
    <cfRule type="cellIs" dxfId="4303" priority="6752" operator="equal">
      <formula>"SC"</formula>
    </cfRule>
    <cfRule type="cellIs" dxfId="4302" priority="6753" operator="equal">
      <formula>"HC"</formula>
    </cfRule>
    <cfRule type="cellIs" dxfId="4301" priority="6754" operator="equal">
      <formula>"C3"</formula>
    </cfRule>
    <cfRule type="cellIs" dxfId="4300" priority="6755" operator="equal">
      <formula>"C2"</formula>
    </cfRule>
    <cfRule type="cellIs" dxfId="4299" priority="6756" operator="equal">
      <formula>"C1"</formula>
    </cfRule>
  </conditionalFormatting>
  <conditionalFormatting sqref="C18:AJ18 L18:AM19 AD58:AM59 AD60:AL65 AH62:AM62">
    <cfRule type="cellIs" dxfId="4298" priority="5708" operator="equal">
      <formula>"C"</formula>
    </cfRule>
  </conditionalFormatting>
  <conditionalFormatting sqref="C46:AL47">
    <cfRule type="cellIs" dxfId="4297" priority="469" operator="equal">
      <formula>"C"</formula>
    </cfRule>
    <cfRule type="cellIs" dxfId="4296" priority="470" operator="equal">
      <formula>"B"</formula>
    </cfRule>
    <cfRule type="cellIs" dxfId="4295" priority="6352" operator="equal">
      <formula>"SC"</formula>
    </cfRule>
  </conditionalFormatting>
  <conditionalFormatting sqref="C2:AM11 AL8:AL23 D55:AC55 O8:O23 N12:AF12 C12:AC15 T13:AF13 M14:AM15 C16:AM17 M16:M23 C54:Z54 C56:AC63">
    <cfRule type="cellIs" dxfId="4293" priority="4000" operator="equal">
      <formula>"C"</formula>
    </cfRule>
  </conditionalFormatting>
  <conditionalFormatting sqref="C2:AM73">
    <cfRule type="cellIs" dxfId="4292" priority="6760" operator="equal">
      <formula>"C150V"</formula>
    </cfRule>
    <cfRule type="cellIs" dxfId="4291" priority="4002" operator="equal">
      <formula>"C25"</formula>
    </cfRule>
    <cfRule type="cellIs" dxfId="4290" priority="5995" operator="equal">
      <formula>"C100V"</formula>
    </cfRule>
    <cfRule type="cellIs" dxfId="4289" priority="5231" operator="equal">
      <formula>"C50"</formula>
    </cfRule>
    <cfRule type="cellIs" dxfId="4288" priority="3574" operator="equal">
      <formula>"T4"</formula>
    </cfRule>
    <cfRule type="cellIs" dxfId="4287" priority="6763" operator="equal">
      <formula>"HC"</formula>
    </cfRule>
    <cfRule type="cellIs" dxfId="4286" priority="3575" operator="equal">
      <formula>"T3"</formula>
    </cfRule>
    <cfRule type="cellIs" dxfId="4285" priority="3576" operator="equal">
      <formula>"T2"</formula>
    </cfRule>
    <cfRule type="cellIs" dxfId="4284" priority="3577" operator="equal">
      <formula>"T1"</formula>
    </cfRule>
  </conditionalFormatting>
  <conditionalFormatting sqref="C19:AM22">
    <cfRule type="cellIs" dxfId="4283" priority="5767" operator="equal">
      <formula>"C"</formula>
    </cfRule>
  </conditionalFormatting>
  <conditionalFormatting sqref="C23:AM45">
    <cfRule type="cellIs" dxfId="4282" priority="3185" operator="equal">
      <formula>"C"</formula>
    </cfRule>
  </conditionalFormatting>
  <conditionalFormatting sqref="C44:AM45">
    <cfRule type="cellIs" dxfId="4281" priority="3184" operator="equal">
      <formula>"B"</formula>
    </cfRule>
  </conditionalFormatting>
  <conditionalFormatting sqref="C48:AM53">
    <cfRule type="cellIs" dxfId="4280" priority="3558" operator="equal">
      <formula>"C"</formula>
    </cfRule>
  </conditionalFormatting>
  <conditionalFormatting sqref="C57:AM73 C2:AM43 C48:AM55 C56:AK56 AD56:AD57">
    <cfRule type="cellIs" dxfId="4279" priority="3999" operator="equal">
      <formula>"B"</formula>
    </cfRule>
  </conditionalFormatting>
  <conditionalFormatting sqref="E7">
    <cfRule type="cellIs" dxfId="4278" priority="2222" operator="equal">
      <formula>"HC"</formula>
    </cfRule>
    <cfRule type="cellIs" dxfId="4273" priority="2226" operator="equal">
      <formula>"A"</formula>
    </cfRule>
    <cfRule type="cellIs" dxfId="4272" priority="2227" operator="equal">
      <formula>"C"</formula>
    </cfRule>
    <cfRule type="cellIs" dxfId="4271" priority="2235" operator="equal">
      <formula>"A"</formula>
    </cfRule>
    <cfRule type="cellIs" dxfId="4267" priority="2231" operator="equal">
      <formula>"HC"</formula>
    </cfRule>
    <cfRule type="cellIs" dxfId="4265" priority="2229" operator="equal">
      <formula>"A OR B"</formula>
    </cfRule>
    <cfRule type="cellIs" dxfId="4264" priority="2230" operator="equal">
      <formula>"SC"</formula>
    </cfRule>
    <cfRule type="cellIs" dxfId="4263" priority="2202" operator="equal">
      <formula>"SC"</formula>
    </cfRule>
    <cfRule type="cellIs" dxfId="4262" priority="2203" operator="equal">
      <formula>"C"</formula>
    </cfRule>
    <cfRule type="cellIs" dxfId="4260" priority="2205" operator="equal">
      <formula>"HC"</formula>
    </cfRule>
    <cfRule type="cellIs" dxfId="4259" priority="2206" operator="equal">
      <formula>"A OR B"</formula>
    </cfRule>
    <cfRule type="cellIs" dxfId="4255" priority="2210" operator="equal">
      <formula>"C"</formula>
    </cfRule>
    <cfRule type="cellIs" dxfId="4253" priority="2212" operator="equal">
      <formula>"A OR B"</formula>
    </cfRule>
    <cfRule type="cellIs" dxfId="4252" priority="2213" operator="equal">
      <formula>"SC"</formula>
    </cfRule>
    <cfRule type="cellIs" dxfId="4251" priority="2214" operator="equal">
      <formula>"HC"</formula>
    </cfRule>
    <cfRule type="cellIs" dxfId="4248" priority="2218" operator="equal">
      <formula>"A"</formula>
    </cfRule>
    <cfRule type="cellIs" dxfId="4246" priority="2220" operator="equal">
      <formula>"A OR B"</formula>
    </cfRule>
    <cfRule type="cellIs" dxfId="4245" priority="2221" operator="equal">
      <formula>"SC"</formula>
    </cfRule>
  </conditionalFormatting>
  <conditionalFormatting sqref="J7">
    <cfRule type="cellIs" dxfId="4244" priority="2248" operator="equal">
      <formula>"HC"</formula>
    </cfRule>
    <cfRule type="cellIs" dxfId="4243" priority="6" operator="equal">
      <formula>"C"</formula>
    </cfRule>
    <cfRule type="cellIs" dxfId="4242" priority="7" operator="equal">
      <formula>"B"</formula>
    </cfRule>
    <cfRule type="cellIs" dxfId="4241" priority="2247" operator="equal">
      <formula>"SC"</formula>
    </cfRule>
    <cfRule type="cellIs" dxfId="4240" priority="2246" operator="equal">
      <formula>"A OR B"</formula>
    </cfRule>
    <cfRule type="cellIs" dxfId="4239" priority="2260" operator="equal">
      <formula>"A"</formula>
    </cfRule>
    <cfRule type="cellIs" dxfId="4235" priority="2256" operator="equal">
      <formula>"HC"</formula>
    </cfRule>
    <cfRule type="cellIs" dxfId="4234" priority="2255" operator="equal">
      <formula>"SC"</formula>
    </cfRule>
    <cfRule type="cellIs" dxfId="4233" priority="2244" operator="equal">
      <formula>"C"</formula>
    </cfRule>
    <cfRule type="cellIs" dxfId="4232" priority="2254" operator="equal">
      <formula>"A OR B"</formula>
    </cfRule>
    <cfRule type="cellIs" dxfId="4226" priority="2240" operator="equal">
      <formula>"A OR B"</formula>
    </cfRule>
    <cfRule type="cellIs" dxfId="4225" priority="2269" operator="equal">
      <formula>"A"</formula>
    </cfRule>
    <cfRule type="cellIs" dxfId="4224" priority="2236" operator="equal">
      <formula>"SC"</formula>
    </cfRule>
    <cfRule type="cellIs" dxfId="4220" priority="2239" operator="equal">
      <formula>"HC"</formula>
    </cfRule>
    <cfRule type="cellIs" dxfId="4219" priority="2252" operator="equal">
      <formula>"A"</formula>
    </cfRule>
    <cfRule type="cellIs" dxfId="4215" priority="2261" operator="equal">
      <formula>"C"</formula>
    </cfRule>
    <cfRule type="cellIs" dxfId="4213" priority="2263" operator="equal">
      <formula>"A OR B"</formula>
    </cfRule>
    <cfRule type="cellIs" dxfId="4212" priority="2264" operator="equal">
      <formula>"SC"</formula>
    </cfRule>
    <cfRule type="cellIs" dxfId="4211" priority="2265" operator="equal">
      <formula>"HC"</formula>
    </cfRule>
  </conditionalFormatting>
  <conditionalFormatting sqref="L18:M19">
    <cfRule type="cellIs" dxfId="4209" priority="5859" operator="equal">
      <formula>"B"</formula>
    </cfRule>
  </conditionalFormatting>
  <conditionalFormatting sqref="L18:AJ18">
    <cfRule type="cellIs" dxfId="4208" priority="2188" operator="equal">
      <formula>"B"</formula>
    </cfRule>
  </conditionalFormatting>
  <conditionalFormatting sqref="L16:AM16">
    <cfRule type="cellIs" dxfId="4207" priority="513" operator="equal">
      <formula>"B"</formula>
    </cfRule>
    <cfRule type="cellIs" dxfId="4206" priority="514" operator="equal">
      <formula>"C"</formula>
    </cfRule>
  </conditionalFormatting>
  <conditionalFormatting sqref="M22:M23">
    <cfRule type="cellIs" dxfId="4205" priority="5850" operator="equal">
      <formula>"B"</formula>
    </cfRule>
  </conditionalFormatting>
  <conditionalFormatting sqref="M20:N20">
    <cfRule type="cellIs" dxfId="4204" priority="533" operator="equal">
      <formula>"B"</formula>
    </cfRule>
    <cfRule type="cellIs" dxfId="4203" priority="534" operator="equal">
      <formula>"C"</formula>
    </cfRule>
  </conditionalFormatting>
  <conditionalFormatting sqref="M22:N23">
    <cfRule type="cellIs" dxfId="4202" priority="34" operator="equal">
      <formula>"C"</formula>
    </cfRule>
  </conditionalFormatting>
  <conditionalFormatting sqref="M23:N23 N23:O27">
    <cfRule type="cellIs" dxfId="4201" priority="5281" operator="equal">
      <formula>"B"</formula>
    </cfRule>
  </conditionalFormatting>
  <conditionalFormatting sqref="M22:P22">
    <cfRule type="cellIs" dxfId="4200" priority="3939" operator="equal">
      <formula>"C"</formula>
    </cfRule>
    <cfRule type="cellIs" dxfId="4199" priority="3940" operator="equal">
      <formula>"B"</formula>
    </cfRule>
  </conditionalFormatting>
  <conditionalFormatting sqref="N23:O27">
    <cfRule type="cellIs" dxfId="4198" priority="5280" operator="equal">
      <formula>"C"</formula>
    </cfRule>
  </conditionalFormatting>
  <conditionalFormatting sqref="P20">
    <cfRule type="cellIs" dxfId="4197" priority="529" operator="equal">
      <formula>"B"</formula>
    </cfRule>
    <cfRule type="cellIs" dxfId="4196" priority="530" operator="equal">
      <formula>"C"</formula>
    </cfRule>
  </conditionalFormatting>
  <conditionalFormatting sqref="P22:P29">
    <cfRule type="cellIs" dxfId="4195" priority="25" operator="equal">
      <formula>"C"</formula>
    </cfRule>
  </conditionalFormatting>
  <conditionalFormatting sqref="P23:P29">
    <cfRule type="cellIs" dxfId="4194" priority="27" operator="equal">
      <formula>"B"</formula>
    </cfRule>
  </conditionalFormatting>
  <conditionalFormatting sqref="P24:R24 R28 AM44 Z48:AM48 AA50:AM50 AB52:AM52 AC54:AM54 AC54:AC55">
    <cfRule type="cellIs" dxfId="4193" priority="6787" operator="equal">
      <formula>"B"</formula>
    </cfRule>
    <cfRule type="cellIs" dxfId="4191" priority="6786" operator="equal">
      <formula>"C"</formula>
    </cfRule>
  </conditionalFormatting>
  <conditionalFormatting sqref="P26:AM27">
    <cfRule type="cellIs" dxfId="4190" priority="3280" operator="equal">
      <formula>"C"</formula>
    </cfRule>
    <cfRule type="cellIs" dxfId="4189" priority="3281" operator="equal">
      <formula>"B"</formula>
    </cfRule>
  </conditionalFormatting>
  <conditionalFormatting sqref="Q22:Q28">
    <cfRule type="cellIs" dxfId="4188" priority="2169" operator="equal">
      <formula>"B"</formula>
    </cfRule>
    <cfRule type="cellIs" dxfId="4187" priority="2168" operator="equal">
      <formula>"C"</formula>
    </cfRule>
  </conditionalFormatting>
  <conditionalFormatting sqref="Q30:Q31">
    <cfRule type="cellIs" dxfId="4186" priority="5254" operator="equal">
      <formula>"C"</formula>
    </cfRule>
    <cfRule type="cellIs" dxfId="4185" priority="5255" operator="equal">
      <formula>"B"</formula>
    </cfRule>
  </conditionalFormatting>
  <conditionalFormatting sqref="Q18:S18">
    <cfRule type="cellIs" dxfId="4184" priority="2187" operator="equal">
      <formula>"C"</formula>
    </cfRule>
  </conditionalFormatting>
  <conditionalFormatting sqref="R20">
    <cfRule type="cellIs" dxfId="4183" priority="526" operator="equal">
      <formula>"C"</formula>
    </cfRule>
    <cfRule type="cellIs" dxfId="4182" priority="525" operator="equal">
      <formula>"B"</formula>
    </cfRule>
  </conditionalFormatting>
  <conditionalFormatting sqref="R22:R24">
    <cfRule type="cellIs" dxfId="4181" priority="21" operator="equal">
      <formula>"B"</formula>
    </cfRule>
    <cfRule type="cellIs" dxfId="4180" priority="20" operator="equal">
      <formula>"C"</formula>
    </cfRule>
  </conditionalFormatting>
  <conditionalFormatting sqref="R30:R33">
    <cfRule type="cellIs" dxfId="4179" priority="511" operator="equal">
      <formula>"C"</formula>
    </cfRule>
    <cfRule type="cellIs" dxfId="4178" priority="512" operator="equal">
      <formula>"B"</formula>
    </cfRule>
  </conditionalFormatting>
  <conditionalFormatting sqref="R30:S30">
    <cfRule type="cellIs" dxfId="4177" priority="6796" operator="equal">
      <formula>"B"</formula>
    </cfRule>
  </conditionalFormatting>
  <conditionalFormatting sqref="R30:X30">
    <cfRule type="cellIs" dxfId="4175" priority="3941" operator="equal">
      <formula>"C"</formula>
    </cfRule>
  </conditionalFormatting>
  <conditionalFormatting sqref="R28:AK28 Y44:AM45 AK13:AL13 V21:W21 T24:AK24 AM24 AM28 Y30:AK30 AM30 T32:W32 Y32:AJ32 AM32 T34:W34 Y34:AK34 AM34">
    <cfRule type="cellIs" dxfId="4174" priority="6800" operator="equal">
      <formula>"C"</formula>
    </cfRule>
  </conditionalFormatting>
  <conditionalFormatting sqref="S22:S27">
    <cfRule type="cellIs" dxfId="4173" priority="5267" operator="equal">
      <formula>"B"</formula>
    </cfRule>
  </conditionalFormatting>
  <conditionalFormatting sqref="S22:S28">
    <cfRule type="cellIs" dxfId="4172" priority="3943" operator="equal">
      <formula>"C"</formula>
    </cfRule>
  </conditionalFormatting>
  <conditionalFormatting sqref="S30:S35">
    <cfRule type="cellIs" dxfId="4171" priority="48" operator="equal">
      <formula>"B"</formula>
    </cfRule>
    <cfRule type="cellIs" dxfId="4170" priority="47" operator="equal">
      <formula>"C"</formula>
    </cfRule>
  </conditionalFormatting>
  <conditionalFormatting sqref="T36:T37">
    <cfRule type="cellIs" dxfId="4169" priority="510" operator="equal">
      <formula>"B"</formula>
    </cfRule>
    <cfRule type="cellIs" dxfId="4168" priority="509" operator="equal">
      <formula>"C"</formula>
    </cfRule>
    <cfRule type="cellIs" dxfId="4167" priority="5096" operator="equal">
      <formula>"B"</formula>
    </cfRule>
    <cfRule type="cellIs" dxfId="4166" priority="5095" operator="equal">
      <formula>"C"</formula>
    </cfRule>
  </conditionalFormatting>
  <conditionalFormatting sqref="T36:W36">
    <cfRule type="cellIs" dxfId="4164" priority="39" operator="equal">
      <formula>"C"</formula>
    </cfRule>
  </conditionalFormatting>
  <conditionalFormatting sqref="T22:AI23">
    <cfRule type="cellIs" dxfId="4163" priority="16" operator="equal">
      <formula>"B"</formula>
    </cfRule>
    <cfRule type="cellIs" dxfId="4162" priority="15" operator="equal">
      <formula>"C"</formula>
    </cfRule>
  </conditionalFormatting>
  <conditionalFormatting sqref="T27:AI27">
    <cfRule type="cellIs" dxfId="4161" priority="3273" operator="equal">
      <formula>"B"</formula>
    </cfRule>
    <cfRule type="cellIs" dxfId="4160" priority="3272" operator="equal">
      <formula>"C"</formula>
    </cfRule>
  </conditionalFormatting>
  <conditionalFormatting sqref="T24:AK24">
    <cfRule type="cellIs" dxfId="4159" priority="2170" operator="equal">
      <formula>"C"</formula>
    </cfRule>
    <cfRule type="cellIs" dxfId="4157" priority="2171" operator="equal">
      <formula>"B"</formula>
    </cfRule>
  </conditionalFormatting>
  <conditionalFormatting sqref="T19:AM20">
    <cfRule type="cellIs" dxfId="4156" priority="518" operator="equal">
      <formula>"C"</formula>
    </cfRule>
  </conditionalFormatting>
  <conditionalFormatting sqref="T20:AM20">
    <cfRule type="cellIs" dxfId="4155" priority="517" operator="equal">
      <formula>"B"</formula>
    </cfRule>
  </conditionalFormatting>
  <conditionalFormatting sqref="T22:AM22">
    <cfRule type="cellIs" dxfId="4154" priority="2178" operator="equal">
      <formula>"B"</formula>
    </cfRule>
    <cfRule type="cellIs" dxfId="4153" priority="2177" operator="equal">
      <formula>"C"</formula>
    </cfRule>
  </conditionalFormatting>
  <conditionalFormatting sqref="U36:U39">
    <cfRule type="cellIs" dxfId="4152" priority="5084" operator="equal">
      <formula>"B"</formula>
    </cfRule>
    <cfRule type="cellIs" dxfId="4151" priority="5083" operator="equal">
      <formula>"C"</formula>
    </cfRule>
  </conditionalFormatting>
  <conditionalFormatting sqref="U36:W36">
    <cfRule type="cellIs" dxfId="4150" priority="40" operator="equal">
      <formula>"B"</formula>
    </cfRule>
  </conditionalFormatting>
  <conditionalFormatting sqref="U38:W39">
    <cfRule type="cellIs" dxfId="4148" priority="505" operator="equal">
      <formula>"C"</formula>
    </cfRule>
    <cfRule type="cellIs" dxfId="4147" priority="506" operator="equal">
      <formula>"B"</formula>
    </cfRule>
  </conditionalFormatting>
  <conditionalFormatting sqref="U36:AM36">
    <cfRule type="cellIs" dxfId="4146" priority="3903" operator="equal">
      <formula>"C"</formula>
    </cfRule>
    <cfRule type="cellIs" dxfId="4145" priority="3904" operator="equal">
      <formula>"B"</formula>
    </cfRule>
  </conditionalFormatting>
  <conditionalFormatting sqref="U38:AM38">
    <cfRule type="cellIs" dxfId="4144" priority="2146" operator="equal">
      <formula>"C"</formula>
    </cfRule>
    <cfRule type="cellIs" dxfId="4143" priority="2147" operator="equal">
      <formula>"B"</formula>
    </cfRule>
  </conditionalFormatting>
  <conditionalFormatting sqref="V38:V41">
    <cfRule type="cellIs" dxfId="4142" priority="5075" operator="equal">
      <formula>"C"</formula>
    </cfRule>
    <cfRule type="cellIs" dxfId="4141" priority="5076" operator="equal">
      <formula>"B"</formula>
    </cfRule>
  </conditionalFormatting>
  <conditionalFormatting sqref="V40:V41">
    <cfRule type="cellIs" dxfId="4139" priority="501" operator="equal">
      <formula>"C"</formula>
    </cfRule>
    <cfRule type="cellIs" dxfId="4138" priority="502" operator="equal">
      <formula>"B"</formula>
    </cfRule>
    <cfRule type="cellIs" dxfId="4137" priority="495" operator="equal">
      <formula>"B"</formula>
    </cfRule>
    <cfRule type="cellIs" dxfId="4136" priority="494" operator="equal">
      <formula>"C"</formula>
    </cfRule>
  </conditionalFormatting>
  <conditionalFormatting sqref="V38:W38">
    <cfRule type="cellIs" dxfId="4135" priority="46" operator="equal">
      <formula>"B"</formula>
    </cfRule>
    <cfRule type="cellIs" dxfId="4134" priority="45" operator="equal">
      <formula>"C"</formula>
    </cfRule>
  </conditionalFormatting>
  <conditionalFormatting sqref="V18:AJ18">
    <cfRule type="cellIs" dxfId="4133" priority="3979" operator="equal">
      <formula>"C"</formula>
    </cfRule>
  </conditionalFormatting>
  <conditionalFormatting sqref="V40:AJ40">
    <cfRule type="cellIs" dxfId="4132" priority="2110" operator="equal">
      <formula>"B"</formula>
    </cfRule>
  </conditionalFormatting>
  <conditionalFormatting sqref="W42:W43">
    <cfRule type="cellIs" dxfId="4130" priority="483" operator="equal">
      <formula>"C"</formula>
    </cfRule>
    <cfRule type="cellIs" dxfId="4129" priority="484" operator="equal">
      <formula>"B"</formula>
    </cfRule>
  </conditionalFormatting>
  <conditionalFormatting sqref="W42:X43">
    <cfRule type="cellIs" dxfId="4127" priority="491" operator="equal">
      <formula>"B"</formula>
    </cfRule>
    <cfRule type="cellIs" dxfId="4126" priority="490" operator="equal">
      <formula>"C"</formula>
    </cfRule>
  </conditionalFormatting>
  <conditionalFormatting sqref="W40:AJ40">
    <cfRule type="cellIs" dxfId="4125" priority="2109" operator="equal">
      <formula>"C"</formula>
    </cfRule>
  </conditionalFormatting>
  <conditionalFormatting sqref="W42:AJ42">
    <cfRule type="cellIs" dxfId="4124" priority="2102" operator="equal">
      <formula>"C"</formula>
    </cfRule>
  </conditionalFormatting>
  <conditionalFormatting sqref="W42:AM42">
    <cfRule type="cellIs" dxfId="4123" priority="2101" operator="equal">
      <formula>"B"</formula>
    </cfRule>
  </conditionalFormatting>
  <conditionalFormatting sqref="X2:X11 X13:X15 X18:X23">
    <cfRule type="cellIs" dxfId="4120" priority="6812" operator="equal">
      <formula>"A OR B"</formula>
    </cfRule>
    <cfRule type="cellIs" dxfId="4119" priority="6813" operator="equal">
      <formula>"HC"</formula>
    </cfRule>
  </conditionalFormatting>
  <conditionalFormatting sqref="X2:X28">
    <cfRule type="cellIs" dxfId="4117" priority="4041" operator="equal">
      <formula>"A"</formula>
    </cfRule>
    <cfRule type="cellIs" dxfId="4116" priority="2186" operator="equal">
      <formula>"B"</formula>
    </cfRule>
  </conditionalFormatting>
  <conditionalFormatting sqref="X2:X29">
    <cfRule type="cellIs" dxfId="4115" priority="4027" operator="equal">
      <formula>"SC"</formula>
    </cfRule>
  </conditionalFormatting>
  <conditionalFormatting sqref="X2:X73">
    <cfRule type="cellIs" dxfId="4114" priority="2185" operator="equal">
      <formula>"C"</formula>
    </cfRule>
  </conditionalFormatting>
  <conditionalFormatting sqref="X12 X16 X24">
    <cfRule type="cellIs" dxfId="4113" priority="6830" operator="equal">
      <formula>"SC"</formula>
    </cfRule>
    <cfRule type="cellIs" dxfId="4112" priority="6839" operator="equal">
      <formula>"C3"</formula>
    </cfRule>
    <cfRule type="cellIs" dxfId="4111" priority="6835" operator="equal">
      <formula>"A"</formula>
    </cfRule>
    <cfRule type="cellIs" dxfId="4110" priority="6836" operator="equal">
      <formula>"C4"</formula>
    </cfRule>
    <cfRule type="cellIs" dxfId="4109" priority="6838" operator="equal">
      <formula>"HC"</formula>
    </cfRule>
    <cfRule type="cellIs" dxfId="4108" priority="6837" operator="equal">
      <formula>"A OR B"</formula>
    </cfRule>
    <cfRule type="cellIs" dxfId="4107" priority="6840" operator="equal">
      <formula>"C2"</formula>
    </cfRule>
    <cfRule type="cellIs" dxfId="4106" priority="6841" operator="equal">
      <formula>"C1"</formula>
    </cfRule>
  </conditionalFormatting>
  <conditionalFormatting sqref="X12 X16:X17 X24">
    <cfRule type="cellIs" dxfId="4105" priority="6831" operator="equal">
      <formula>"HC"</formula>
    </cfRule>
    <cfRule type="cellIs" dxfId="4104" priority="6829" operator="equal">
      <formula>"A OR B"</formula>
    </cfRule>
  </conditionalFormatting>
  <conditionalFormatting sqref="X24 X12 X16">
    <cfRule type="cellIs" dxfId="4099" priority="6827" operator="equal">
      <formula>"B"</formula>
    </cfRule>
  </conditionalFormatting>
  <conditionalFormatting sqref="X25:X29">
    <cfRule type="cellIs" dxfId="4098" priority="6886" operator="equal">
      <formula>"HC"</formula>
    </cfRule>
    <cfRule type="cellIs" dxfId="4097" priority="6885" operator="equal">
      <formula>"A OR B"</formula>
    </cfRule>
  </conditionalFormatting>
  <conditionalFormatting sqref="X28">
    <cfRule type="cellIs" dxfId="4095" priority="6888" operator="equal">
      <formula>"SC"</formula>
    </cfRule>
    <cfRule type="cellIs" dxfId="4094" priority="6898" operator="equal">
      <formula>"C1"</formula>
    </cfRule>
    <cfRule type="cellIs" dxfId="4093" priority="6887" operator="equal">
      <formula>"B"</formula>
    </cfRule>
    <cfRule type="cellIs" dxfId="4092" priority="6897" operator="equal">
      <formula>"C2"</formula>
    </cfRule>
    <cfRule type="cellIs" dxfId="4091" priority="6896" operator="equal">
      <formula>"C3"</formula>
    </cfRule>
    <cfRule type="cellIs" dxfId="4090" priority="6895" operator="equal">
      <formula>"HC"</formula>
    </cfRule>
    <cfRule type="cellIs" dxfId="4089" priority="6893" operator="equal">
      <formula>"C4"</formula>
    </cfRule>
    <cfRule type="cellIs" dxfId="4088" priority="6894" operator="equal">
      <formula>"A OR B"</formula>
    </cfRule>
  </conditionalFormatting>
  <conditionalFormatting sqref="X28:X29">
    <cfRule type="cellIs" dxfId="4085" priority="6892" operator="equal">
      <formula>"A"</formula>
    </cfRule>
  </conditionalFormatting>
  <conditionalFormatting sqref="X29">
    <cfRule type="cellIs" dxfId="4083" priority="6903" operator="equal">
      <formula>"B"</formula>
    </cfRule>
  </conditionalFormatting>
  <conditionalFormatting sqref="X44:X45">
    <cfRule type="cellIs" dxfId="4081" priority="472" operator="equal">
      <formula>"C"</formula>
    </cfRule>
    <cfRule type="cellIs" dxfId="4080" priority="473" operator="equal">
      <formula>"B"</formula>
    </cfRule>
  </conditionalFormatting>
  <conditionalFormatting sqref="X44:AM44">
    <cfRule type="cellIs" dxfId="4079" priority="3872" operator="equal">
      <formula>"B"</formula>
    </cfRule>
  </conditionalFormatting>
  <conditionalFormatting sqref="Y6">
    <cfRule type="cellIs" dxfId="4078" priority="2450" operator="equal">
      <formula>"A OR B"</formula>
    </cfRule>
    <cfRule type="cellIs" dxfId="4076" priority="2448" operator="equal">
      <formula>"A"</formula>
    </cfRule>
    <cfRule type="cellIs" dxfId="4073" priority="2444" operator="equal">
      <formula>"SC"</formula>
    </cfRule>
    <cfRule type="cellIs" dxfId="4072" priority="2436" operator="equal">
      <formula>"C1"</formula>
    </cfRule>
    <cfRule type="cellIs" dxfId="4071" priority="2435" operator="equal">
      <formula>"C2"</formula>
    </cfRule>
    <cfRule type="cellIs" dxfId="4070" priority="2434" operator="equal">
      <formula>"C3"</formula>
    </cfRule>
    <cfRule type="cellIs" dxfId="4069" priority="2433" operator="equal">
      <formula>"HC"</formula>
    </cfRule>
    <cfRule type="cellIs" dxfId="4068" priority="2432" operator="equal">
      <formula>"C4"</formula>
    </cfRule>
    <cfRule type="cellIs" dxfId="4067" priority="2443" operator="equal">
      <formula>"A OR B"</formula>
    </cfRule>
    <cfRule type="cellIs" dxfId="4066" priority="2429" operator="equal">
      <formula>"A"</formula>
    </cfRule>
    <cfRule type="cellIs" dxfId="4065" priority="2430" operator="equal">
      <formula>"B"</formula>
    </cfRule>
    <cfRule type="cellIs" dxfId="4064" priority="2459" operator="equal">
      <formula>"A OR B"</formula>
    </cfRule>
    <cfRule type="cellIs" dxfId="4063" priority="2465" operator="equal">
      <formula>"A"</formula>
    </cfRule>
    <cfRule type="cellIs" dxfId="4059" priority="2461" operator="equal">
      <formula>"HC"</formula>
    </cfRule>
    <cfRule type="cellIs" dxfId="4058" priority="2460" operator="equal">
      <formula>"SC"</formula>
    </cfRule>
    <cfRule type="cellIs" dxfId="4057" priority="2456" operator="equal">
      <formula>"A"</formula>
    </cfRule>
    <cfRule type="cellIs" dxfId="4055" priority="2457" operator="equal">
      <formula>"C"</formula>
    </cfRule>
    <cfRule type="cellIs" dxfId="4051" priority="2452" operator="equal">
      <formula>"HC"</formula>
    </cfRule>
    <cfRule type="cellIs" dxfId="4050" priority="2451" operator="equal">
      <formula>"SC"</formula>
    </cfRule>
  </conditionalFormatting>
  <conditionalFormatting sqref="Y6:Y7">
    <cfRule type="cellIs" dxfId="4048" priority="2474" operator="equal">
      <formula>"A"</formula>
    </cfRule>
    <cfRule type="cellIs" dxfId="4046" priority="2476" operator="equal">
      <formula>"A OR B"</formula>
    </cfRule>
    <cfRule type="cellIs" dxfId="4045" priority="2477" operator="equal">
      <formula>"SC"</formula>
    </cfRule>
    <cfRule type="cellIs" dxfId="4044" priority="2478" operator="equal">
      <formula>"HC"</formula>
    </cfRule>
    <cfRule type="cellIs" dxfId="4040" priority="2482" operator="equal">
      <formula>"A"</formula>
    </cfRule>
    <cfRule type="cellIs" dxfId="4039" priority="2483" operator="equal">
      <formula>"C"</formula>
    </cfRule>
    <cfRule type="cellIs" dxfId="4037" priority="2431" operator="equal">
      <formula>"C"</formula>
    </cfRule>
    <cfRule type="cellIs" dxfId="4035" priority="2438" operator="equal">
      <formula>"HC"</formula>
    </cfRule>
    <cfRule type="cellIs" dxfId="4032" priority="2487" operator="equal">
      <formula>"HC"</formula>
    </cfRule>
    <cfRule type="cellIs" dxfId="4031" priority="2486" operator="equal">
      <formula>"SC"</formula>
    </cfRule>
    <cfRule type="cellIs" dxfId="4028" priority="2466" operator="equal">
      <formula>"C"</formula>
    </cfRule>
    <cfRule type="cellIs" dxfId="4027" priority="2485" operator="equal">
      <formula>"A OR B"</formula>
    </cfRule>
    <cfRule type="cellIs" dxfId="4025" priority="2428" operator="equal">
      <formula>"SC"</formula>
    </cfRule>
    <cfRule type="cellIs" dxfId="4024" priority="2468" operator="equal">
      <formula>"A OR B"</formula>
    </cfRule>
    <cfRule type="cellIs" dxfId="4023" priority="2469" operator="equal">
      <formula>"SC"</formula>
    </cfRule>
    <cfRule type="cellIs" dxfId="4022" priority="2470" operator="equal">
      <formula>"HC"</formula>
    </cfRule>
    <cfRule type="cellIs" dxfId="4020" priority="2491" operator="equal">
      <formula>"A"</formula>
    </cfRule>
  </conditionalFormatting>
  <conditionalFormatting sqref="Y7">
    <cfRule type="cellIs" dxfId="4018" priority="2439" operator="equal">
      <formula>"A OR B"</formula>
    </cfRule>
  </conditionalFormatting>
  <conditionalFormatting sqref="Y46:Y47">
    <cfRule type="cellIs" dxfId="4013" priority="457" operator="equal">
      <formula>"B"</formula>
    </cfRule>
    <cfRule type="cellIs" dxfId="4012" priority="456" operator="equal">
      <formula>"C"</formula>
    </cfRule>
  </conditionalFormatting>
  <conditionalFormatting sqref="Z48:Z49">
    <cfRule type="cellIs" dxfId="4010" priority="450" operator="equal">
      <formula>"C"</formula>
    </cfRule>
    <cfRule type="cellIs" dxfId="4009" priority="451" operator="equal">
      <formula>"B"</formula>
    </cfRule>
    <cfRule type="cellIs" dxfId="4008" priority="455" operator="equal">
      <formula>"SC"</formula>
    </cfRule>
    <cfRule type="cellIs" dxfId="4007" priority="437" operator="equal">
      <formula>"C"</formula>
    </cfRule>
    <cfRule type="cellIs" dxfId="4006" priority="438" operator="equal">
      <formula>"B"</formula>
    </cfRule>
  </conditionalFormatting>
  <conditionalFormatting sqref="Z46:AM46">
    <cfRule type="cellIs" dxfId="4005" priority="3856" operator="equal">
      <formula>"B"</formula>
    </cfRule>
    <cfRule type="cellIs" dxfId="4004" priority="2085" operator="equal">
      <formula>"SC"</formula>
    </cfRule>
    <cfRule type="cellIs" dxfId="4003" priority="2083" operator="equal">
      <formula>"C"</formula>
    </cfRule>
  </conditionalFormatting>
  <conditionalFormatting sqref="AA50:AA51">
    <cfRule type="cellIs" dxfId="4002" priority="415" operator="equal">
      <formula>"C"</formula>
    </cfRule>
    <cfRule type="cellIs" dxfId="4001" priority="433" operator="equal">
      <formula>"SC"</formula>
    </cfRule>
    <cfRule type="cellIs" dxfId="4000" priority="429" operator="equal">
      <formula>"B"</formula>
    </cfRule>
    <cfRule type="cellIs" dxfId="3999" priority="428" operator="equal">
      <formula>"C"</formula>
    </cfRule>
    <cfRule type="cellIs" dxfId="3997" priority="416" operator="equal">
      <formula>"B"</formula>
    </cfRule>
  </conditionalFormatting>
  <conditionalFormatting sqref="AA54:AM55">
    <cfRule type="cellIs" dxfId="3996" priority="5034" operator="equal">
      <formula>"C"</formula>
    </cfRule>
  </conditionalFormatting>
  <conditionalFormatting sqref="AB52:AB53">
    <cfRule type="cellIs" dxfId="3995" priority="392" operator="equal">
      <formula>"B"</formula>
    </cfRule>
    <cfRule type="cellIs" dxfId="3993" priority="404" operator="equal">
      <formula>"C"</formula>
    </cfRule>
    <cfRule type="cellIs" dxfId="3992" priority="405" operator="equal">
      <formula>"B"</formula>
    </cfRule>
    <cfRule type="cellIs" dxfId="3991" priority="409" operator="equal">
      <formula>"SC"</formula>
    </cfRule>
    <cfRule type="cellIs" dxfId="3990" priority="391" operator="equal">
      <formula>"C"</formula>
    </cfRule>
  </conditionalFormatting>
  <conditionalFormatting sqref="AB58:AB59">
    <cfRule type="cellIs" dxfId="3989" priority="6182" operator="equal">
      <formula>"SC"</formula>
    </cfRule>
    <cfRule type="cellIs" dxfId="3988" priority="6190" operator="equal">
      <formula>"C1"</formula>
    </cfRule>
    <cfRule type="cellIs" dxfId="3987" priority="6189" operator="equal">
      <formula>"C2"</formula>
    </cfRule>
    <cfRule type="cellIs" dxfId="3986" priority="6188" operator="equal">
      <formula>"C3"</formula>
    </cfRule>
    <cfRule type="cellIs" dxfId="3985" priority="6187" operator="equal">
      <formula>"HC"</formula>
    </cfRule>
    <cfRule type="cellIs" dxfId="3984" priority="6181" operator="equal">
      <formula>"C"</formula>
    </cfRule>
    <cfRule type="cellIs" dxfId="3983" priority="6185" operator="equal">
      <formula>"C4"</formula>
    </cfRule>
  </conditionalFormatting>
  <conditionalFormatting sqref="AC54:AC55">
    <cfRule type="cellIs" dxfId="3982" priority="378" operator="equal">
      <formula>"B"</formula>
    </cfRule>
    <cfRule type="cellIs" dxfId="3980" priority="365" operator="equal">
      <formula>"B"</formula>
    </cfRule>
    <cfRule type="cellIs" dxfId="3979" priority="364" operator="equal">
      <formula>"C"</formula>
    </cfRule>
  </conditionalFormatting>
  <conditionalFormatting sqref="AC54:AC59">
    <cfRule type="cellIs" dxfId="3978" priority="6177" operator="equal">
      <formula>"A"</formula>
    </cfRule>
    <cfRule type="cellIs" dxfId="3977" priority="377" operator="equal">
      <formula>"C"</formula>
    </cfRule>
    <cfRule type="cellIs" dxfId="3976" priority="382" operator="equal">
      <formula>"SC"</formula>
    </cfRule>
    <cfRule type="cellIs" dxfId="3975" priority="6200" operator="equal">
      <formula>"C1"</formula>
    </cfRule>
    <cfRule type="cellIs" dxfId="3974" priority="6193" operator="equal">
      <formula>"B"</formula>
    </cfRule>
    <cfRule type="cellIs" dxfId="3973" priority="6195" operator="equal">
      <formula>"C4"</formula>
    </cfRule>
    <cfRule type="cellIs" dxfId="3972" priority="6197" operator="equal">
      <formula>"HC"</formula>
    </cfRule>
    <cfRule type="cellIs" dxfId="3971" priority="6198" operator="equal">
      <formula>"C3"</formula>
    </cfRule>
    <cfRule type="cellIs" dxfId="3970" priority="6199" operator="equal">
      <formula>"C2"</formula>
    </cfRule>
  </conditionalFormatting>
  <conditionalFormatting sqref="AC55 AK60:AL64 AK66:AL71 AL70:AM70">
    <cfRule type="cellIs" dxfId="3969" priority="8094" operator="equal">
      <formula>"HC"</formula>
    </cfRule>
    <cfRule type="cellIs" dxfId="3965" priority="8092" operator="equal">
      <formula>"A OR B"</formula>
    </cfRule>
    <cfRule type="cellIs" dxfId="3964" priority="8093" operator="equal">
      <formula>"SC"</formula>
    </cfRule>
  </conditionalFormatting>
  <conditionalFormatting sqref="AC55 AK60:AL64 AK66:AL71 AM69:AM75 AL70:AM70 AL72:AM73">
    <cfRule type="cellIs" dxfId="3963" priority="8098" operator="equal">
      <formula>"A"</formula>
    </cfRule>
  </conditionalFormatting>
  <conditionalFormatting sqref="AC55:AM55">
    <cfRule type="cellIs" dxfId="3962" priority="6925" operator="equal">
      <formula>"SC"</formula>
    </cfRule>
    <cfRule type="cellIs" dxfId="3961" priority="6926" operator="equal">
      <formula>"HC"</formula>
    </cfRule>
    <cfRule type="cellIs" dxfId="3960" priority="6924" operator="equal">
      <formula>"A OR B"</formula>
    </cfRule>
  </conditionalFormatting>
  <conditionalFormatting sqref="AD14">
    <cfRule type="cellIs" dxfId="3954" priority="6943" operator="equal">
      <formula>"HC"</formula>
    </cfRule>
    <cfRule type="cellIs" dxfId="3953" priority="6942" operator="equal">
      <formula>"SC"</formula>
    </cfRule>
    <cfRule type="cellIs" dxfId="3952" priority="6941" operator="equal">
      <formula>"A OR B"</formula>
    </cfRule>
    <cfRule type="cellIs" dxfId="3951" priority="6939" operator="equal">
      <formula>"C"</formula>
    </cfRule>
    <cfRule type="cellIs" dxfId="3950" priority="6930" operator="equal">
      <formula>"C"</formula>
    </cfRule>
    <cfRule type="cellIs" dxfId="3947" priority="6933" operator="equal">
      <formula>"SC"</formula>
    </cfRule>
    <cfRule type="cellIs" dxfId="3946" priority="6934" operator="equal">
      <formula>"HC"</formula>
    </cfRule>
    <cfRule type="cellIs" dxfId="3943" priority="6938" operator="equal">
      <formula>"A"</formula>
    </cfRule>
    <cfRule type="cellIs" dxfId="3941" priority="6947" operator="equal">
      <formula>"A"</formula>
    </cfRule>
    <cfRule type="cellIs" dxfId="3939" priority="6932" operator="equal">
      <formula>"A OR B"</formula>
    </cfRule>
  </conditionalFormatting>
  <conditionalFormatting sqref="AD14:AD15">
    <cfRule type="cellIs" dxfId="3933" priority="6950" operator="equal">
      <formula>"A OR B"</formula>
    </cfRule>
    <cfRule type="cellIs" dxfId="3932" priority="6951" operator="equal">
      <formula>"SC"</formula>
    </cfRule>
    <cfRule type="cellIs" dxfId="3931" priority="6956" operator="equal">
      <formula>"A"</formula>
    </cfRule>
    <cfRule type="cellIs" dxfId="3930" priority="6952" operator="equal">
      <formula>"HC"</formula>
    </cfRule>
  </conditionalFormatting>
  <conditionalFormatting sqref="AD15">
    <cfRule type="cellIs" dxfId="3924" priority="6964" operator="equal">
      <formula>"HC"</formula>
    </cfRule>
  </conditionalFormatting>
  <conditionalFormatting sqref="AD54:AD57 AC55 AH69 AK67:AM69 AJ69:AM69">
    <cfRule type="cellIs" dxfId="3922" priority="6971" operator="equal">
      <formula>"HC"</formula>
    </cfRule>
    <cfRule type="cellIs" dxfId="3921" priority="6970" operator="equal">
      <formula>"SC"</formula>
    </cfRule>
    <cfRule type="cellIs" dxfId="3920" priority="6969" operator="equal">
      <formula>"A OR B"</formula>
    </cfRule>
  </conditionalFormatting>
  <conditionalFormatting sqref="AD54:AD57">
    <cfRule type="cellIs" dxfId="3915" priority="1966" operator="equal">
      <formula>"A"</formula>
    </cfRule>
  </conditionalFormatting>
  <conditionalFormatting sqref="AD56">
    <cfRule type="cellIs" dxfId="3914" priority="6990" operator="equal">
      <formula>"A"</formula>
    </cfRule>
  </conditionalFormatting>
  <conditionalFormatting sqref="AD56:AD57">
    <cfRule type="cellIs" dxfId="3913" priority="343" operator="equal">
      <formula>"C3"</formula>
    </cfRule>
    <cfRule type="cellIs" dxfId="3912" priority="342" operator="equal">
      <formula>"HC"</formula>
    </cfRule>
    <cfRule type="cellIs" dxfId="3911" priority="321" operator="equal">
      <formula>"C"</formula>
    </cfRule>
    <cfRule type="cellIs" dxfId="3910" priority="322" operator="equal">
      <formula>"B"</formula>
    </cfRule>
    <cfRule type="cellIs" dxfId="3909" priority="326" operator="equal">
      <formula>"SC"</formula>
    </cfRule>
    <cfRule type="cellIs" dxfId="3908" priority="340" operator="equal">
      <formula>"B"</formula>
    </cfRule>
    <cfRule type="cellIs" dxfId="3907" priority="341" operator="equal">
      <formula>"C4"</formula>
    </cfRule>
    <cfRule type="cellIs" dxfId="3906" priority="344" operator="equal">
      <formula>"C2"</formula>
    </cfRule>
    <cfRule type="cellIs" dxfId="3905" priority="308" operator="equal">
      <formula>"C"</formula>
    </cfRule>
    <cfRule type="cellIs" dxfId="3904" priority="345" operator="equal">
      <formula>"C1"</formula>
    </cfRule>
    <cfRule type="cellIs" dxfId="3902" priority="347" operator="equal">
      <formula>"C"</formula>
    </cfRule>
    <cfRule type="cellIs" dxfId="3901" priority="348" operator="equal">
      <formula>"B"</formula>
    </cfRule>
    <cfRule type="cellIs" dxfId="3898" priority="309" operator="equal">
      <formula>"B"</formula>
    </cfRule>
  </conditionalFormatting>
  <conditionalFormatting sqref="AD57">
    <cfRule type="cellIs" dxfId="3894" priority="352" operator="equal">
      <formula>"HC"</formula>
    </cfRule>
    <cfRule type="cellIs" dxfId="3893" priority="351" operator="equal">
      <formula>"SC"</formula>
    </cfRule>
    <cfRule type="cellIs" dxfId="3892" priority="350" operator="equal">
      <formula>"A OR B"</formula>
    </cfRule>
    <cfRule type="cellIs" dxfId="3890" priority="1967" operator="equal">
      <formula>"SC"</formula>
    </cfRule>
    <cfRule type="cellIs" dxfId="3886" priority="1962" operator="equal">
      <formula>"HC"</formula>
    </cfRule>
    <cfRule type="cellIs" dxfId="3885" priority="1961" operator="equal">
      <formula>"SC"</formula>
    </cfRule>
    <cfRule type="cellIs" dxfId="3883" priority="1958" operator="equal">
      <formula>"A"</formula>
    </cfRule>
    <cfRule type="cellIs" dxfId="3879" priority="1954" operator="equal">
      <formula>"HC"</formula>
    </cfRule>
    <cfRule type="cellIs" dxfId="3878" priority="1953" operator="equal">
      <formula>"SC"</formula>
    </cfRule>
    <cfRule type="cellIs" dxfId="3877" priority="1952" operator="equal">
      <formula>"A OR B"</formula>
    </cfRule>
    <cfRule type="cellIs" dxfId="3875" priority="1950" operator="equal">
      <formula>"C"</formula>
    </cfRule>
    <cfRule type="cellIs" dxfId="3873" priority="1960" operator="equal">
      <formula>"A OR B"</formula>
    </cfRule>
    <cfRule type="cellIs" dxfId="3871" priority="359" operator="equal">
      <formula>"HC"</formula>
    </cfRule>
    <cfRule type="cellIs" dxfId="3870" priority="358" operator="equal">
      <formula>"SC"</formula>
    </cfRule>
    <cfRule type="cellIs" dxfId="3869" priority="357" operator="equal">
      <formula>"A OR B"</formula>
    </cfRule>
    <cfRule type="cellIs" dxfId="3868" priority="363" operator="equal">
      <formula>"A"</formula>
    </cfRule>
  </conditionalFormatting>
  <conditionalFormatting sqref="AD14:AE15">
    <cfRule type="cellIs" dxfId="3866" priority="6948" operator="equal">
      <formula>"C"</formula>
    </cfRule>
    <cfRule type="cellIs" dxfId="3865" priority="6958" operator="equal">
      <formula>"SC"</formula>
    </cfRule>
  </conditionalFormatting>
  <conditionalFormatting sqref="AD58:AF59">
    <cfRule type="cellIs" dxfId="3864" priority="6179" operator="equal">
      <formula>"B"</formula>
    </cfRule>
  </conditionalFormatting>
  <conditionalFormatting sqref="AD13:AG13">
    <cfRule type="cellIs" dxfId="3862" priority="6998" operator="equal">
      <formula>"A OR B"</formula>
    </cfRule>
    <cfRule type="cellIs" dxfId="3861" priority="6996" operator="equal">
      <formula>"C"</formula>
    </cfRule>
    <cfRule type="cellIs" dxfId="3859" priority="6999" operator="equal">
      <formula>"HC"</formula>
    </cfRule>
  </conditionalFormatting>
  <conditionalFormatting sqref="AD54:AJ56">
    <cfRule type="cellIs" dxfId="3854" priority="7008" operator="equal">
      <formula>"HC"</formula>
    </cfRule>
    <cfRule type="cellIs" dxfId="3853" priority="7007" operator="equal">
      <formula>"SC"</formula>
    </cfRule>
    <cfRule type="cellIs" dxfId="3852" priority="7006" operator="equal">
      <formula>"A OR B"</formula>
    </cfRule>
    <cfRule type="cellIs" dxfId="3850" priority="7012" operator="equal">
      <formula>"A"</formula>
    </cfRule>
  </conditionalFormatting>
  <conditionalFormatting sqref="AD56:AK56">
    <cfRule type="cellIs" dxfId="3848" priority="7003" operator="equal">
      <formula>"C"</formula>
    </cfRule>
    <cfRule type="cellIs" dxfId="3847" priority="7004" operator="equal">
      <formula>"B"</formula>
    </cfRule>
  </conditionalFormatting>
  <conditionalFormatting sqref="AD56:AK57">
    <cfRule type="cellIs" dxfId="3846" priority="2073" operator="equal">
      <formula>"A"</formula>
    </cfRule>
    <cfRule type="cellIs" dxfId="3845" priority="2074" operator="equal">
      <formula>"SC"</formula>
    </cfRule>
    <cfRule type="cellIs" dxfId="3844" priority="4985" operator="equal">
      <formula>"C"</formula>
    </cfRule>
  </conditionalFormatting>
  <conditionalFormatting sqref="AD57:AK57 AF61:AM61">
    <cfRule type="cellIs" dxfId="3841" priority="7096" operator="equal">
      <formula>"B"</formula>
    </cfRule>
    <cfRule type="cellIs" dxfId="3838" priority="7091" operator="equal">
      <formula>"A OR B"</formula>
    </cfRule>
    <cfRule type="cellIs" dxfId="3837" priority="7092" operator="equal">
      <formula>"HC"</formula>
    </cfRule>
  </conditionalFormatting>
  <conditionalFormatting sqref="AD60:AL65 AH62:AM62">
    <cfRule type="cellIs" dxfId="3836" priority="4091" operator="equal">
      <formula>"A"</formula>
    </cfRule>
    <cfRule type="cellIs" dxfId="3835" priority="4086" operator="equal">
      <formula>"SC"</formula>
    </cfRule>
  </conditionalFormatting>
  <conditionalFormatting sqref="AD3:AM3">
    <cfRule type="cellIs" dxfId="3834" priority="6055" operator="equal">
      <formula>"C1"</formula>
    </cfRule>
    <cfRule type="cellIs" dxfId="3833" priority="6036" operator="equal">
      <formula>"B"</formula>
    </cfRule>
    <cfRule type="cellIs" dxfId="3832" priority="6054" operator="equal">
      <formula>"C2"</formula>
    </cfRule>
    <cfRule type="cellIs" dxfId="3831" priority="6037" operator="equal">
      <formula>"A"</formula>
    </cfRule>
    <cfRule type="cellIs" dxfId="3830" priority="6050" operator="equal">
      <formula>"C4"</formula>
    </cfRule>
    <cfRule type="cellIs" dxfId="3829" priority="6051" operator="equal">
      <formula>"A OR B"</formula>
    </cfRule>
    <cfRule type="cellIs" dxfId="3828" priority="6053" operator="equal">
      <formula>"C3"</formula>
    </cfRule>
    <cfRule type="cellIs" dxfId="3827" priority="6035" operator="equal">
      <formula>"SC"</formula>
    </cfRule>
  </conditionalFormatting>
  <conditionalFormatting sqref="AD12:AM14">
    <cfRule type="cellIs" dxfId="3826" priority="2201" operator="equal">
      <formula>"A"</formula>
    </cfRule>
  </conditionalFormatting>
  <conditionalFormatting sqref="AD12:AM15">
    <cfRule type="cellIs" dxfId="3825" priority="2200" operator="equal">
      <formula>"SC"</formula>
    </cfRule>
  </conditionalFormatting>
  <conditionalFormatting sqref="AD14:AM14">
    <cfRule type="cellIs" dxfId="3824" priority="6149" operator="equal">
      <formula>"B"</formula>
    </cfRule>
  </conditionalFormatting>
  <conditionalFormatting sqref="AD14:AM15">
    <cfRule type="cellIs" dxfId="3822" priority="6959" operator="equal">
      <formula>"HC"</formula>
    </cfRule>
  </conditionalFormatting>
  <conditionalFormatting sqref="AD54:AM54 AG56:AK57 AD57:AF65 AE58:AM59 AK60:AM63 AG60:AL64 AH62:AM62 AD12:AM12 AD14:AM14 AE15 AK46:AL47 AD56:AJ56 AG65:AM65">
    <cfRule type="cellIs" dxfId="3821" priority="6440" operator="equal">
      <formula>"C4"</formula>
    </cfRule>
  </conditionalFormatting>
  <conditionalFormatting sqref="AD54:AM54">
    <cfRule type="cellIs" dxfId="3820" priority="6278" operator="equal">
      <formula>"A"</formula>
    </cfRule>
    <cfRule type="cellIs" dxfId="3819" priority="6277" operator="equal">
      <formula>"B"</formula>
    </cfRule>
    <cfRule type="cellIs" dxfId="3818" priority="6272" operator="equal">
      <formula>"SC"</formula>
    </cfRule>
  </conditionalFormatting>
  <conditionalFormatting sqref="AD58:AM59">
    <cfRule type="cellIs" dxfId="3817" priority="1947" operator="equal">
      <formula>"A"</formula>
    </cfRule>
    <cfRule type="cellIs" dxfId="3816" priority="1948" operator="equal">
      <formula>"SC"</formula>
    </cfRule>
  </conditionalFormatting>
  <conditionalFormatting sqref="AE6">
    <cfRule type="cellIs" dxfId="3814" priority="2388" operator="equal">
      <formula>"HC"</formula>
    </cfRule>
    <cfRule type="cellIs" dxfId="3813" priority="2387" operator="equal">
      <formula>"SC"</formula>
    </cfRule>
    <cfRule type="cellIs" dxfId="3812" priority="2386" operator="equal">
      <formula>"A OR B"</formula>
    </cfRule>
    <cfRule type="cellIs" dxfId="3807" priority="2380" operator="equal">
      <formula>"SC"</formula>
    </cfRule>
    <cfRule type="cellIs" dxfId="3806" priority="2379" operator="equal">
      <formula>"A OR B"</formula>
    </cfRule>
    <cfRule type="cellIs" dxfId="3805" priority="2372" operator="equal">
      <formula>"C1"</formula>
    </cfRule>
    <cfRule type="cellIs" dxfId="3804" priority="2371" operator="equal">
      <formula>"C2"</formula>
    </cfRule>
    <cfRule type="cellIs" dxfId="3803" priority="2370" operator="equal">
      <formula>"C3"</formula>
    </cfRule>
    <cfRule type="cellIs" dxfId="3802" priority="2369" operator="equal">
      <formula>"HC"</formula>
    </cfRule>
    <cfRule type="cellIs" dxfId="3801" priority="2368" operator="equal">
      <formula>"C4"</formula>
    </cfRule>
    <cfRule type="cellIs" dxfId="3800" priority="2366" operator="equal">
      <formula>"B"</formula>
    </cfRule>
    <cfRule type="cellIs" dxfId="3799" priority="2365" operator="equal">
      <formula>"A"</formula>
    </cfRule>
    <cfRule type="cellIs" dxfId="3798" priority="2401" operator="equal">
      <formula>"A"</formula>
    </cfRule>
    <cfRule type="cellIs" dxfId="3794" priority="2397" operator="equal">
      <formula>"HC"</formula>
    </cfRule>
    <cfRule type="cellIs" dxfId="3793" priority="2396" operator="equal">
      <formula>"SC"</formula>
    </cfRule>
    <cfRule type="cellIs" dxfId="3792" priority="2395" operator="equal">
      <formula>"A OR B"</formula>
    </cfRule>
    <cfRule type="cellIs" dxfId="3790" priority="2393" operator="equal">
      <formula>"C"</formula>
    </cfRule>
    <cfRule type="cellIs" dxfId="3789" priority="2392" operator="equal">
      <formula>"A"</formula>
    </cfRule>
    <cfRule type="cellIs" dxfId="3786" priority="2384" operator="equal">
      <formula>"A"</formula>
    </cfRule>
  </conditionalFormatting>
  <conditionalFormatting sqref="AE6:AE7">
    <cfRule type="cellIs" dxfId="3782" priority="2419" operator="equal">
      <formula>"C"</formula>
    </cfRule>
    <cfRule type="cellIs" dxfId="3781" priority="2418" operator="equal">
      <formula>"A"</formula>
    </cfRule>
    <cfRule type="cellIs" dxfId="3778" priority="2422" operator="equal">
      <formula>"SC"</formula>
    </cfRule>
    <cfRule type="cellIs" dxfId="3777" priority="2421" operator="equal">
      <formula>"A OR B"</formula>
    </cfRule>
    <cfRule type="cellIs" dxfId="3775" priority="2374" operator="equal">
      <formula>"HC"</formula>
    </cfRule>
    <cfRule type="cellIs" dxfId="3774" priority="2367" operator="equal">
      <formula>"C"</formula>
    </cfRule>
    <cfRule type="cellIs" dxfId="3772" priority="2410" operator="equal">
      <formula>"A"</formula>
    </cfRule>
    <cfRule type="cellIs" dxfId="3770" priority="2412" operator="equal">
      <formula>"A OR B"</formula>
    </cfRule>
    <cfRule type="cellIs" dxfId="3769" priority="2413" operator="equal">
      <formula>"SC"</formula>
    </cfRule>
    <cfRule type="cellIs" dxfId="3768" priority="2414" operator="equal">
      <formula>"HC"</formula>
    </cfRule>
    <cfRule type="cellIs" dxfId="3767" priority="2406" operator="equal">
      <formula>"HC"</formula>
    </cfRule>
    <cfRule type="cellIs" dxfId="3766" priority="2364" operator="equal">
      <formula>"SC"</formula>
    </cfRule>
    <cfRule type="cellIs" dxfId="3765" priority="2402" operator="equal">
      <formula>"C"</formula>
    </cfRule>
    <cfRule type="cellIs" dxfId="3763" priority="2404" operator="equal">
      <formula>"A OR B"</formula>
    </cfRule>
    <cfRule type="cellIs" dxfId="3761" priority="2405" operator="equal">
      <formula>"SC"</formula>
    </cfRule>
    <cfRule type="cellIs" dxfId="3760" priority="2427" operator="equal">
      <formula>"A"</formula>
    </cfRule>
    <cfRule type="cellIs" dxfId="3756" priority="2423" operator="equal">
      <formula>"HC"</formula>
    </cfRule>
  </conditionalFormatting>
  <conditionalFormatting sqref="AE7">
    <cfRule type="cellIs" dxfId="3753" priority="2375" operator="equal">
      <formula>"A OR B"</formula>
    </cfRule>
  </conditionalFormatting>
  <conditionalFormatting sqref="AE14:AE15">
    <cfRule type="cellIs" dxfId="3751" priority="7015" operator="equal">
      <formula>"A OR B"</formula>
    </cfRule>
    <cfRule type="cellIs" dxfId="3747" priority="7021" operator="equal">
      <formula>"A"</formula>
    </cfRule>
  </conditionalFormatting>
  <conditionalFormatting sqref="AE58:AE59">
    <cfRule type="cellIs" dxfId="3745" priority="258" operator="equal">
      <formula>"A OR B"</formula>
    </cfRule>
    <cfRule type="cellIs" dxfId="3744" priority="259" operator="equal">
      <formula>"SC"</formula>
    </cfRule>
    <cfRule type="cellIs" dxfId="3743" priority="260" operator="equal">
      <formula>"HC"</formula>
    </cfRule>
    <cfRule type="cellIs" dxfId="3738" priority="265" operator="equal">
      <formula>"A OR B"</formula>
    </cfRule>
    <cfRule type="cellIs" dxfId="3737" priority="266" operator="equal">
      <formula>"SC"</formula>
    </cfRule>
    <cfRule type="cellIs" dxfId="3736" priority="267" operator="equal">
      <formula>"HC"</formula>
    </cfRule>
    <cfRule type="cellIs" dxfId="3732" priority="271" operator="equal">
      <formula>"A"</formula>
    </cfRule>
    <cfRule type="cellIs" dxfId="3731" priority="272" operator="equal">
      <formula>"C"</formula>
    </cfRule>
    <cfRule type="cellIs" dxfId="3729" priority="274" operator="equal">
      <formula>"A OR B"</formula>
    </cfRule>
    <cfRule type="cellIs" dxfId="3728" priority="275" operator="equal">
      <formula>"SC"</formula>
    </cfRule>
    <cfRule type="cellIs" dxfId="3727" priority="276" operator="equal">
      <formula>"HC"</formula>
    </cfRule>
    <cfRule type="cellIs" dxfId="3723" priority="280" operator="equal">
      <formula>"A"</formula>
    </cfRule>
    <cfRule type="cellIs" dxfId="3721" priority="282" operator="equal">
      <formula>"A OR B"</formula>
    </cfRule>
    <cfRule type="cellIs" dxfId="3720" priority="283" operator="equal">
      <formula>"SC"</formula>
    </cfRule>
    <cfRule type="cellIs" dxfId="3719" priority="284" operator="equal">
      <formula>"HC"</formula>
    </cfRule>
    <cfRule type="cellIs" dxfId="3715" priority="288" operator="equal">
      <formula>"A"</formula>
    </cfRule>
    <cfRule type="cellIs" dxfId="3714" priority="289" operator="equal">
      <formula>"SC"</formula>
    </cfRule>
    <cfRule type="cellIs" dxfId="3713" priority="292" operator="equal">
      <formula>"C"</formula>
    </cfRule>
    <cfRule type="cellIs" dxfId="3711" priority="295" operator="equal">
      <formula>"A OR B"</formula>
    </cfRule>
    <cfRule type="cellIs" dxfId="3710" priority="296" operator="equal">
      <formula>"SC"</formula>
    </cfRule>
    <cfRule type="cellIs" dxfId="3709" priority="297" operator="equal">
      <formula>"HC"</formula>
    </cfRule>
    <cfRule type="cellIs" dxfId="3704" priority="302" operator="equal">
      <formula>"A OR B"</formula>
    </cfRule>
    <cfRule type="cellIs" dxfId="3703" priority="303" operator="equal">
      <formula>"HC"</formula>
    </cfRule>
    <cfRule type="cellIs" dxfId="3699" priority="307" operator="equal">
      <formula>"B"</formula>
    </cfRule>
    <cfRule type="cellIs" dxfId="3697" priority="7049" operator="equal">
      <formula>"A"</formula>
    </cfRule>
    <cfRule type="cellIs" dxfId="3693" priority="7045" operator="equal">
      <formula>"HC"</formula>
    </cfRule>
    <cfRule type="cellIs" dxfId="3692" priority="7044" operator="equal">
      <formula>"SC"</formula>
    </cfRule>
    <cfRule type="cellIs" dxfId="3691" priority="7043" operator="equal">
      <formula>"A OR B"</formula>
    </cfRule>
    <cfRule type="cellIs" dxfId="3689" priority="7041" operator="equal">
      <formula>"B"</formula>
    </cfRule>
    <cfRule type="cellIs" dxfId="3688" priority="7040" operator="equal">
      <formula>"C"</formula>
    </cfRule>
    <cfRule type="cellIs" dxfId="3687" priority="7039" operator="equal">
      <formula>"A"</formula>
    </cfRule>
    <cfRule type="cellIs" dxfId="3683" priority="7035" operator="equal">
      <formula>"HC"</formula>
    </cfRule>
    <cfRule type="cellIs" dxfId="3682" priority="7034" operator="equal">
      <formula>"SC"</formula>
    </cfRule>
    <cfRule type="cellIs" dxfId="3681" priority="7033" operator="equal">
      <formula>"A OR B"</formula>
    </cfRule>
    <cfRule type="cellIs" dxfId="3679" priority="7031" operator="equal">
      <formula>"B"</formula>
    </cfRule>
    <cfRule type="cellIs" dxfId="3677" priority="1933" operator="equal">
      <formula>"A OR B"</formula>
    </cfRule>
    <cfRule type="cellIs" dxfId="3676" priority="1934" operator="equal">
      <formula>"SC"</formula>
    </cfRule>
    <cfRule type="cellIs" dxfId="3675" priority="1935" operator="equal">
      <formula>"HC"</formula>
    </cfRule>
    <cfRule type="cellIs" dxfId="3671" priority="1939" operator="equal">
      <formula>"A"</formula>
    </cfRule>
    <cfRule type="cellIs" dxfId="3669" priority="1941" operator="equal">
      <formula>"A OR B"</formula>
    </cfRule>
    <cfRule type="cellIs" dxfId="3668" priority="1942" operator="equal">
      <formula>"SC"</formula>
    </cfRule>
    <cfRule type="cellIs" dxfId="3667" priority="1943" operator="equal">
      <formula>"HC"</formula>
    </cfRule>
    <cfRule type="cellIs" dxfId="3664" priority="1949" operator="equal">
      <formula>"B"</formula>
    </cfRule>
    <cfRule type="cellIs" dxfId="3663" priority="216" operator="equal">
      <formula>"C"</formula>
    </cfRule>
    <cfRule type="cellIs" dxfId="3662" priority="217" operator="equal">
      <formula>"B"</formula>
    </cfRule>
    <cfRule type="cellIs" dxfId="3660" priority="229" operator="equal">
      <formula>"C"</formula>
    </cfRule>
    <cfRule type="cellIs" dxfId="3659" priority="230" operator="equal">
      <formula>"B"</formula>
    </cfRule>
    <cfRule type="cellIs" dxfId="3658" priority="234" operator="equal">
      <formula>"SC"</formula>
    </cfRule>
    <cfRule type="cellIs" dxfId="3657" priority="248" operator="equal">
      <formula>"B"</formula>
    </cfRule>
    <cfRule type="cellIs" dxfId="3656" priority="249" operator="equal">
      <formula>"C4"</formula>
    </cfRule>
    <cfRule type="cellIs" dxfId="3655" priority="250" operator="equal">
      <formula>"HC"</formula>
    </cfRule>
    <cfRule type="cellIs" dxfId="3654" priority="251" operator="equal">
      <formula>"C3"</formula>
    </cfRule>
    <cfRule type="cellIs" dxfId="3653" priority="252" operator="equal">
      <formula>"C2"</formula>
    </cfRule>
    <cfRule type="cellIs" dxfId="3652" priority="253" operator="equal">
      <formula>"C1"</formula>
    </cfRule>
    <cfRule type="cellIs" dxfId="3650" priority="255" operator="equal">
      <formula>"C"</formula>
    </cfRule>
    <cfRule type="cellIs" dxfId="3649" priority="256" operator="equal">
      <formula>"B"</formula>
    </cfRule>
  </conditionalFormatting>
  <conditionalFormatting sqref="AE66:AE67 AF66:AF73 AH66:AH73">
    <cfRule type="cellIs" dxfId="3648" priority="6435" operator="equal">
      <formula>"C2"</formula>
    </cfRule>
    <cfRule type="cellIs" dxfId="3647" priority="6434" operator="equal">
      <formula>"C3"</formula>
    </cfRule>
    <cfRule type="cellIs" dxfId="3646" priority="6433" operator="equal">
      <formula>"HC"</formula>
    </cfRule>
    <cfRule type="cellIs" dxfId="3645" priority="6436" operator="equal">
      <formula>"C1"</formula>
    </cfRule>
    <cfRule type="cellIs" dxfId="3644" priority="6432" operator="equal">
      <formula>"SC"</formula>
    </cfRule>
    <cfRule type="cellIs" dxfId="3643" priority="6430" operator="equal">
      <formula>"C4"</formula>
    </cfRule>
    <cfRule type="cellIs" dxfId="3642" priority="6228" operator="equal">
      <formula>"A"</formula>
    </cfRule>
  </conditionalFormatting>
  <conditionalFormatting sqref="AE67 AF69">
    <cfRule type="cellIs" dxfId="3640" priority="7056" operator="equal">
      <formula>"C"</formula>
    </cfRule>
    <cfRule type="cellIs" dxfId="3639" priority="7059" operator="equal">
      <formula>"HC"</formula>
    </cfRule>
    <cfRule type="cellIs" dxfId="3635" priority="7058" operator="equal">
      <formula>"SC"</formula>
    </cfRule>
  </conditionalFormatting>
  <conditionalFormatting sqref="AE56:AJ57 AG60:AJ61">
    <cfRule type="cellIs" dxfId="3634" priority="7081" operator="equal">
      <formula>"A OR B"</formula>
    </cfRule>
    <cfRule type="cellIs" dxfId="3633" priority="7082" operator="equal">
      <formula>"SC"</formula>
    </cfRule>
    <cfRule type="cellIs" dxfId="3632" priority="7083" operator="equal">
      <formula>"HC"</formula>
    </cfRule>
    <cfRule type="cellIs" dxfId="3629" priority="7087" operator="equal">
      <formula>"A"</formula>
    </cfRule>
    <cfRule type="cellIs" dxfId="3628" priority="7088" operator="equal">
      <formula>"SC"</formula>
    </cfRule>
    <cfRule type="cellIs" dxfId="3625" priority="7073" operator="equal">
      <formula>"A OR B"</formula>
    </cfRule>
    <cfRule type="cellIs" dxfId="3624" priority="7074" operator="equal">
      <formula>"SC"</formula>
    </cfRule>
    <cfRule type="cellIs" dxfId="3623" priority="7075" operator="equal">
      <formula>"HC"</formula>
    </cfRule>
    <cfRule type="cellIs" dxfId="3619" priority="7079" operator="equal">
      <formula>"A"</formula>
    </cfRule>
  </conditionalFormatting>
  <conditionalFormatting sqref="AE57:AJ59">
    <cfRule type="cellIs" dxfId="3617" priority="4841" operator="equal">
      <formula>"C"</formula>
    </cfRule>
  </conditionalFormatting>
  <conditionalFormatting sqref="AE56:AK56 AE58:AM58 AF60:AM60 AI64:AJ64 AM63:AM64">
    <cfRule type="cellIs" dxfId="3616" priority="7025" operator="equal">
      <formula>"HC"</formula>
    </cfRule>
  </conditionalFormatting>
  <conditionalFormatting sqref="AE56:AK56 AE58:AM58 AF60:AM60 AI64:AJ64 AM64">
    <cfRule type="cellIs" dxfId="3615" priority="7029" operator="equal">
      <formula>"A"</formula>
    </cfRule>
    <cfRule type="cellIs" dxfId="3611" priority="7030" operator="equal">
      <formula>"SC"</formula>
    </cfRule>
    <cfRule type="cellIs" dxfId="3610" priority="7024" operator="equal">
      <formula>"SC"</formula>
    </cfRule>
    <cfRule type="cellIs" dxfId="3609" priority="7023" operator="equal">
      <formula>"A OR B"</formula>
    </cfRule>
  </conditionalFormatting>
  <conditionalFormatting sqref="AE59:AM59 AF61 AG62:AG63 AG63:AM63 AH65 AF15:AM15">
    <cfRule type="cellIs" dxfId="3606" priority="7051" operator="equal">
      <formula>"A OR B"</formula>
    </cfRule>
  </conditionalFormatting>
  <conditionalFormatting sqref="AE59:AM59 AF61 AG62:AG63 AG63:AM63 AH65:AM65">
    <cfRule type="cellIs" dxfId="3605" priority="7052" operator="equal">
      <formula>"HC"</formula>
    </cfRule>
  </conditionalFormatting>
  <conditionalFormatting sqref="AF60:AF61">
    <cfRule type="cellIs" dxfId="3603" priority="7097" operator="equal">
      <formula>"B"</formula>
    </cfRule>
    <cfRule type="cellIs" dxfId="3601" priority="7099" operator="equal">
      <formula>"A OR B"</formula>
    </cfRule>
    <cfRule type="cellIs" dxfId="3600" priority="7100" operator="equal">
      <formula>"SC"</formula>
    </cfRule>
    <cfRule type="cellIs" dxfId="3596" priority="7105" operator="equal">
      <formula>"A"</formula>
    </cfRule>
    <cfRule type="cellIs" dxfId="3595" priority="7106" operator="equal">
      <formula>"C"</formula>
    </cfRule>
    <cfRule type="cellIs" dxfId="3594" priority="7107" operator="equal">
      <formula>"B"</formula>
    </cfRule>
    <cfRule type="cellIs" dxfId="3591" priority="1895" operator="equal">
      <formula>"A OR B"</formula>
    </cfRule>
    <cfRule type="cellIs" dxfId="3590" priority="1896" operator="equal">
      <formula>"SC"</formula>
    </cfRule>
    <cfRule type="cellIs" dxfId="3589" priority="1897" operator="equal">
      <formula>"HC"</formula>
    </cfRule>
    <cfRule type="cellIs" dxfId="3585" priority="1901" operator="equal">
      <formula>"A"</formula>
    </cfRule>
    <cfRule type="cellIs" dxfId="3583" priority="1903" operator="equal">
      <formula>"A OR B"</formula>
    </cfRule>
    <cfRule type="cellIs" dxfId="3582" priority="1904" operator="equal">
      <formula>"SC"</formula>
    </cfRule>
    <cfRule type="cellIs" dxfId="3581" priority="1905" operator="equal">
      <formula>"HC"</formula>
    </cfRule>
    <cfRule type="cellIs" dxfId="3577" priority="1909" operator="equal">
      <formula>"A"</formula>
    </cfRule>
    <cfRule type="cellIs" dxfId="3576" priority="1910" operator="equal">
      <formula>"SC"</formula>
    </cfRule>
    <cfRule type="cellIs" dxfId="3575" priority="7109" operator="equal">
      <formula>"A OR B"</formula>
    </cfRule>
    <cfRule type="cellIs" dxfId="3574" priority="7110" operator="equal">
      <formula>"SC"</formula>
    </cfRule>
    <cfRule type="cellIs" dxfId="3573" priority="7111" operator="equal">
      <formula>"HC"</formula>
    </cfRule>
    <cfRule type="cellIs" dxfId="3569" priority="7115" operator="equal">
      <formula>"A"</formula>
    </cfRule>
    <cfRule type="cellIs" dxfId="3568" priority="7116" operator="equal">
      <formula>"SC"</formula>
    </cfRule>
    <cfRule type="cellIs" dxfId="3567" priority="7117" operator="equal">
      <formula>"B"</formula>
    </cfRule>
    <cfRule type="cellIs" dxfId="3566" priority="7101" operator="equal">
      <formula>"HC"</formula>
    </cfRule>
  </conditionalFormatting>
  <conditionalFormatting sqref="AF71 AH71 AF73 AH73 AJ73">
    <cfRule type="cellIs" dxfId="3564" priority="7132" operator="equal">
      <formula>"C"</formula>
    </cfRule>
  </conditionalFormatting>
  <conditionalFormatting sqref="AF71 AH71 AJ71 AF73 AH73 AJ73">
    <cfRule type="cellIs" dxfId="3562" priority="7134" operator="equal">
      <formula>"A OR B"</formula>
    </cfRule>
    <cfRule type="cellIs" dxfId="3559" priority="7135" operator="equal">
      <formula>"SC"</formula>
    </cfRule>
  </conditionalFormatting>
  <conditionalFormatting sqref="AF71 AH71 AJ71:AM71 AF73 AH73 AJ73">
    <cfRule type="cellIs" dxfId="3558" priority="7136" operator="equal">
      <formula>"HC"</formula>
    </cfRule>
  </conditionalFormatting>
  <conditionalFormatting sqref="AF58:AJ59">
    <cfRule type="cellIs" dxfId="3555" priority="7160" operator="equal">
      <formula>"HC"</formula>
    </cfRule>
    <cfRule type="cellIs" dxfId="3554" priority="7159" operator="equal">
      <formula>"SC"</formula>
    </cfRule>
    <cfRule type="cellIs" dxfId="3553" priority="7158" operator="equal">
      <formula>"A OR B"</formula>
    </cfRule>
    <cfRule type="cellIs" dxfId="3548" priority="7172" operator="equal">
      <formula>"A"</formula>
    </cfRule>
    <cfRule type="cellIs" dxfId="3547" priority="7173" operator="equal">
      <formula>"SC"</formula>
    </cfRule>
    <cfRule type="cellIs" dxfId="3546" priority="7174" operator="equal">
      <formula>"B"</formula>
    </cfRule>
    <cfRule type="cellIs" dxfId="3545" priority="7164" operator="equal">
      <formula>"A"</formula>
    </cfRule>
    <cfRule type="cellIs" dxfId="3543" priority="7166" operator="equal">
      <formula>"A OR B"</formula>
    </cfRule>
    <cfRule type="cellIs" dxfId="3542" priority="7167" operator="equal">
      <formula>"SC"</formula>
    </cfRule>
    <cfRule type="cellIs" dxfId="3541" priority="7168" operator="equal">
      <formula>"HC"</formula>
    </cfRule>
  </conditionalFormatting>
  <conditionalFormatting sqref="AF60:AJ61">
    <cfRule type="cellIs" dxfId="3539" priority="4724" operator="equal">
      <formula>"C"</formula>
    </cfRule>
  </conditionalFormatting>
  <conditionalFormatting sqref="AF14:AM14">
    <cfRule type="cellIs" dxfId="3536" priority="7184" operator="equal">
      <formula>"A OR B"</formula>
    </cfRule>
    <cfRule type="cellIs" dxfId="3532" priority="7190" operator="equal">
      <formula>"A"</formula>
    </cfRule>
    <cfRule type="cellIs" dxfId="3530" priority="7192" operator="equal">
      <formula>"A OR B"</formula>
    </cfRule>
    <cfRule type="cellIs" dxfId="3529" priority="7193" operator="equal">
      <formula>"SC"</formula>
    </cfRule>
    <cfRule type="cellIs" dxfId="3528" priority="7194" operator="equal">
      <formula>"HC"</formula>
    </cfRule>
    <cfRule type="cellIs" dxfId="3525" priority="7198" operator="equal">
      <formula>"A"</formula>
    </cfRule>
    <cfRule type="cellIs" dxfId="3524" priority="7199" operator="equal">
      <formula>"C"</formula>
    </cfRule>
    <cfRule type="cellIs" dxfId="3523" priority="7203" operator="equal">
      <formula>"HC"</formula>
    </cfRule>
    <cfRule type="cellIs" dxfId="3522" priority="7202" operator="equal">
      <formula>"SC"</formula>
    </cfRule>
    <cfRule type="cellIs" dxfId="3521" priority="7201" operator="equal">
      <formula>"A OR B"</formula>
    </cfRule>
    <cfRule type="cellIs" dxfId="3519" priority="7185" operator="equal">
      <formula>"SC"</formula>
    </cfRule>
    <cfRule type="cellIs" dxfId="3517" priority="7207" operator="equal">
      <formula>"A"</formula>
    </cfRule>
  </conditionalFormatting>
  <conditionalFormatting sqref="AF14:AM15">
    <cfRule type="cellIs" dxfId="3515" priority="7210" operator="equal">
      <formula>"A OR B"</formula>
    </cfRule>
    <cfRule type="cellIs" dxfId="3514" priority="7211" operator="equal">
      <formula>"SC"</formula>
    </cfRule>
    <cfRule type="cellIs" dxfId="3512" priority="7212" operator="equal">
      <formula>"HC"</formula>
    </cfRule>
    <cfRule type="cellIs" dxfId="3508" priority="7233" operator="equal">
      <formula>"A"</formula>
    </cfRule>
    <cfRule type="cellIs" dxfId="3507" priority="7220" operator="equal">
      <formula>"HC"</formula>
    </cfRule>
    <cfRule type="cellIs" dxfId="3506" priority="7219" operator="equal">
      <formula>"SC"</formula>
    </cfRule>
    <cfRule type="cellIs" dxfId="3504" priority="7208" operator="equal">
      <formula>"C"</formula>
    </cfRule>
    <cfRule type="cellIs" dxfId="3503" priority="7218" operator="equal">
      <formula>"A OR B"</formula>
    </cfRule>
    <cfRule type="cellIs" dxfId="3496" priority="7216" operator="equal">
      <formula>"A"</formula>
    </cfRule>
    <cfRule type="cellIs" dxfId="3494" priority="7229" operator="equal">
      <formula>"HC"</formula>
    </cfRule>
    <cfRule type="cellIs" dxfId="3493" priority="7228" operator="equal">
      <formula>"SC"</formula>
    </cfRule>
    <cfRule type="cellIs" dxfId="3492" priority="7227" operator="equal">
      <formula>"A OR B"</formula>
    </cfRule>
    <cfRule type="cellIs" dxfId="3491" priority="7225" operator="equal">
      <formula>"C"</formula>
    </cfRule>
    <cfRule type="cellIs" dxfId="3490" priority="7224" operator="equal">
      <formula>"A"</formula>
    </cfRule>
  </conditionalFormatting>
  <conditionalFormatting sqref="AG4:AG5">
    <cfRule type="cellIs" dxfId="3487" priority="2542" operator="equal">
      <formula>"HC"</formula>
    </cfRule>
    <cfRule type="cellIs" dxfId="3484" priority="2547" operator="equal">
      <formula>"C"</formula>
    </cfRule>
    <cfRule type="cellIs" dxfId="3482" priority="2549" operator="equal">
      <formula>"A OR B"</formula>
    </cfRule>
    <cfRule type="cellIs" dxfId="3481" priority="2550" operator="equal">
      <formula>"SC"</formula>
    </cfRule>
    <cfRule type="cellIs" dxfId="3479" priority="2546" operator="equal">
      <formula>"A"</formula>
    </cfRule>
    <cfRule type="cellIs" dxfId="3478" priority="2541" operator="equal">
      <formula>"SC"</formula>
    </cfRule>
    <cfRule type="cellIs" dxfId="3477" priority="2540" operator="equal">
      <formula>"A OR B"</formula>
    </cfRule>
    <cfRule type="cellIs" dxfId="3476" priority="2551" operator="equal">
      <formula>"HC"</formula>
    </cfRule>
    <cfRule type="cellIs" dxfId="3474" priority="2538" operator="equal">
      <formula>"A"</formula>
    </cfRule>
    <cfRule type="cellIs" dxfId="3470" priority="2534" operator="equal">
      <formula>"HC"</formula>
    </cfRule>
    <cfRule type="cellIs" dxfId="3469" priority="2533" operator="equal">
      <formula>"SC"</formula>
    </cfRule>
    <cfRule type="cellIs" dxfId="3468" priority="2530" operator="equal">
      <formula>"C"</formula>
    </cfRule>
    <cfRule type="cellIs" dxfId="3463" priority="2555" operator="equal">
      <formula>"A"</formula>
    </cfRule>
    <cfRule type="cellIs" dxfId="3462" priority="2532" operator="equal">
      <formula>"A OR B"</formula>
    </cfRule>
    <cfRule type="cellIs" dxfId="3461" priority="2502" operator="equal">
      <formula>"HC"</formula>
    </cfRule>
    <cfRule type="cellIs" dxfId="3459" priority="2495" operator="equal">
      <formula>"C"</formula>
    </cfRule>
    <cfRule type="cellIs" dxfId="3458" priority="2492" operator="equal">
      <formula>"SC"</formula>
    </cfRule>
  </conditionalFormatting>
  <conditionalFormatting sqref="AG5">
    <cfRule type="cellIs" dxfId="3454" priority="2503" operator="equal">
      <formula>"A OR B"</formula>
    </cfRule>
  </conditionalFormatting>
  <conditionalFormatting sqref="AG12:AG13">
    <cfRule type="cellIs" dxfId="3452" priority="7247" operator="equal">
      <formula>"B"</formula>
    </cfRule>
    <cfRule type="cellIs" dxfId="3451" priority="7248" operator="equal">
      <formula>"A"</formula>
    </cfRule>
    <cfRule type="cellIs" dxfId="3448" priority="7241" operator="equal">
      <formula>"A OR B"</formula>
    </cfRule>
    <cfRule type="cellIs" dxfId="3447" priority="7242" operator="equal">
      <formula>"SC"</formula>
    </cfRule>
    <cfRule type="cellIs" dxfId="3446" priority="7243" operator="equal">
      <formula>"HC"</formula>
    </cfRule>
  </conditionalFormatting>
  <conditionalFormatting sqref="AG18 AI18:AJ18 AG20">
    <cfRule type="cellIs" dxfId="3442" priority="7287" operator="equal">
      <formula>"C4"</formula>
    </cfRule>
    <cfRule type="cellIs" dxfId="3441" priority="7287" operator="equal">
      <formula>"A"</formula>
    </cfRule>
    <cfRule type="cellIs" dxfId="3440" priority="7286" operator="equal">
      <formula>"SC"</formula>
    </cfRule>
    <cfRule type="cellIs" dxfId="3439" priority="7282" operator="equal">
      <formula>"A"</formula>
    </cfRule>
    <cfRule type="cellIs" dxfId="3438" priority="7283" operator="equal">
      <formula>"C"</formula>
    </cfRule>
    <cfRule type="cellIs" dxfId="3437" priority="7249" operator="equal">
      <formula>"C2"</formula>
    </cfRule>
    <cfRule type="cellIs" dxfId="3436" priority="7249" operator="equal">
      <formula>"HC"</formula>
    </cfRule>
    <cfRule type="cellIs" dxfId="3435" priority="7249" operator="equal">
      <formula>"A OR B"</formula>
    </cfRule>
    <cfRule type="cellIs" dxfId="3434" priority="7249" operator="equal">
      <formula>"B"</formula>
    </cfRule>
    <cfRule type="cellIs" dxfId="3433" priority="7249" operator="equal">
      <formula>"C3"</formula>
    </cfRule>
    <cfRule type="cellIs" dxfId="3432" priority="7249" operator="equal">
      <formula>"C1"</formula>
    </cfRule>
  </conditionalFormatting>
  <conditionalFormatting sqref="AG18 AJ18 AG20">
    <cfRule type="cellIs" dxfId="3431" priority="7270" operator="equal">
      <formula>"HC"</formula>
    </cfRule>
    <cfRule type="cellIs" dxfId="3430" priority="7285" operator="equal">
      <formula>"A OR B"</formula>
    </cfRule>
    <cfRule type="cellIs" dxfId="3426" priority="7274" operator="equal">
      <formula>"A"</formula>
    </cfRule>
    <cfRule type="cellIs" dxfId="3424" priority="7276" operator="equal">
      <formula>"A OR B"</formula>
    </cfRule>
    <cfRule type="cellIs" dxfId="3423" priority="7277" operator="equal">
      <formula>"SC"</formula>
    </cfRule>
    <cfRule type="cellIs" dxfId="3422" priority="7278" operator="equal">
      <formula>"HC"</formula>
    </cfRule>
    <cfRule type="cellIs" dxfId="3418" priority="7256" operator="equal">
      <formula>"A"</formula>
    </cfRule>
    <cfRule type="cellIs" dxfId="3415" priority="7257" operator="equal">
      <formula>"C"</formula>
    </cfRule>
    <cfRule type="cellIs" dxfId="3410" priority="7265" operator="equal">
      <formula>"A"</formula>
    </cfRule>
    <cfRule type="cellIs" dxfId="3409" priority="7266" operator="equal">
      <formula>"C"</formula>
    </cfRule>
    <cfRule type="cellIs" dxfId="3407" priority="7268" operator="equal">
      <formula>"A OR B"</formula>
    </cfRule>
    <cfRule type="cellIs" dxfId="3406" priority="7259" operator="equal">
      <formula>"A OR B"</formula>
    </cfRule>
    <cfRule type="cellIs" dxfId="3405" priority="7269" operator="equal">
      <formula>"SC"</formula>
    </cfRule>
    <cfRule type="cellIs" dxfId="3401" priority="7252" operator="equal">
      <formula>"HC"</formula>
    </cfRule>
    <cfRule type="cellIs" dxfId="3400" priority="7288" operator="equal">
      <formula>"HC"</formula>
    </cfRule>
    <cfRule type="cellIs" dxfId="3399" priority="7250" operator="equal">
      <formula>"A OR B"</formula>
    </cfRule>
    <cfRule type="cellIs" dxfId="3398" priority="7260" operator="equal">
      <formula>"SC"</formula>
    </cfRule>
    <cfRule type="cellIs" dxfId="3397" priority="7261" operator="equal">
      <formula>"HC"</formula>
    </cfRule>
    <cfRule type="cellIs" dxfId="3395" priority="7288" stopIfTrue="1" operator="equal">
      <formula>"B"</formula>
    </cfRule>
    <cfRule type="cellIs" dxfId="3394" priority="7251" operator="equal">
      <formula>"SC"</formula>
    </cfRule>
  </conditionalFormatting>
  <conditionalFormatting sqref="AG18">
    <cfRule type="cellIs" dxfId="3393" priority="5692" operator="equal">
      <formula>"A OR B"</formula>
    </cfRule>
    <cfRule type="cellIs" dxfId="3392" priority="5690" operator="equal">
      <formula>"A"</formula>
    </cfRule>
    <cfRule type="cellIs" dxfId="3391" priority="5714" stopIfTrue="1" operator="equal">
      <formula>"B"</formula>
    </cfRule>
    <cfRule type="cellIs" dxfId="3387" priority="5686" operator="equal">
      <formula>"HC"</formula>
    </cfRule>
    <cfRule type="cellIs" dxfId="3386" priority="5685" operator="equal">
      <formula>"SC"</formula>
    </cfRule>
    <cfRule type="cellIs" dxfId="3385" priority="5684" operator="equal">
      <formula>"A OR B"</formula>
    </cfRule>
    <cfRule type="cellIs" dxfId="3383" priority="5682" operator="equal">
      <formula>"C"</formula>
    </cfRule>
    <cfRule type="cellIs" dxfId="3382" priority="5681" operator="equal">
      <formula>"A"</formula>
    </cfRule>
    <cfRule type="cellIs" dxfId="3378" priority="5677" operator="equal">
      <formula>"HC"</formula>
    </cfRule>
    <cfRule type="cellIs" dxfId="3377" priority="5676" operator="equal">
      <formula>"SC"</formula>
    </cfRule>
    <cfRule type="cellIs" dxfId="3376" priority="5675" operator="equal">
      <formula>"A OR B"</formula>
    </cfRule>
    <cfRule type="cellIs" dxfId="3374" priority="5673" operator="equal">
      <formula>"C"</formula>
    </cfRule>
    <cfRule type="cellIs" dxfId="3373" priority="5672" operator="equal">
      <formula>"A"</formula>
    </cfRule>
    <cfRule type="cellIs" dxfId="3369" priority="5668" operator="equal">
      <formula>"HC"</formula>
    </cfRule>
    <cfRule type="cellIs" dxfId="3368" priority="5667" operator="equal">
      <formula>"SC"</formula>
    </cfRule>
    <cfRule type="cellIs" dxfId="3367" priority="5666" operator="equal">
      <formula>"A OR B"</formula>
    </cfRule>
    <cfRule type="cellIs" dxfId="3365" priority="5715" operator="equal">
      <formula>"A"</formula>
    </cfRule>
    <cfRule type="cellIs" dxfId="3364" priority="5716" operator="equal">
      <formula>"C4"</formula>
    </cfRule>
    <cfRule type="cellIs" dxfId="3363" priority="5717" operator="equal">
      <formula>"A OR B"</formula>
    </cfRule>
    <cfRule type="cellIs" dxfId="3362" priority="5718" operator="equal">
      <formula>"HC"</formula>
    </cfRule>
    <cfRule type="cellIs" dxfId="3361" priority="5719" operator="equal">
      <formula>"C3"</formula>
    </cfRule>
    <cfRule type="cellIs" dxfId="3360" priority="5720" operator="equal">
      <formula>"C2"</formula>
    </cfRule>
    <cfRule type="cellIs" dxfId="3358" priority="5703" operator="equal">
      <formula>"HC"</formula>
    </cfRule>
    <cfRule type="cellIs" dxfId="3357" priority="5702" operator="equal">
      <formula>"SC"</formula>
    </cfRule>
    <cfRule type="cellIs" dxfId="3356" priority="5701" operator="equal">
      <formula>"A OR B"</formula>
    </cfRule>
    <cfRule type="cellIs" dxfId="3354" priority="5699" operator="equal">
      <formula>"C"</formula>
    </cfRule>
    <cfRule type="cellIs" dxfId="3353" priority="5698" operator="equal">
      <formula>"A"</formula>
    </cfRule>
    <cfRule type="cellIs" dxfId="3349" priority="5694" operator="equal">
      <formula>"HC"</formula>
    </cfRule>
    <cfRule type="cellIs" dxfId="3348" priority="5693" operator="equal">
      <formula>"SC"</formula>
    </cfRule>
    <cfRule type="cellIs" dxfId="3347" priority="5721" operator="equal">
      <formula>"C1"</formula>
    </cfRule>
    <cfRule type="cellIs" dxfId="3346" priority="5711" operator="equal">
      <formula>"B"</formula>
    </cfRule>
    <cfRule type="cellIs" dxfId="3345" priority="5709" operator="equal">
      <formula>"SC"</formula>
    </cfRule>
    <cfRule type="cellIs" dxfId="3344" priority="5707" operator="equal">
      <formula>"A"</formula>
    </cfRule>
  </conditionalFormatting>
  <conditionalFormatting sqref="AG20">
    <cfRule type="cellIs" dxfId="3340" priority="5770" operator="equal">
      <formula>"B"</formula>
    </cfRule>
    <cfRule type="cellIs" dxfId="3338" priority="5749" operator="equal">
      <formula>"A"</formula>
    </cfRule>
    <cfRule type="cellIs" dxfId="3334" priority="5745" operator="equal">
      <formula>"HC"</formula>
    </cfRule>
    <cfRule type="cellIs" dxfId="3333" priority="5744" operator="equal">
      <formula>"SC"</formula>
    </cfRule>
    <cfRule type="cellIs" dxfId="3332" priority="5773" stopIfTrue="1" operator="equal">
      <formula>"B"</formula>
    </cfRule>
    <cfRule type="cellIs" dxfId="3331" priority="5774" operator="equal">
      <formula>"A"</formula>
    </cfRule>
    <cfRule type="cellIs" dxfId="3330" priority="5775" operator="equal">
      <formula>"C4"</formula>
    </cfRule>
    <cfRule type="cellIs" dxfId="3329" priority="5776" operator="equal">
      <formula>"A OR B"</formula>
    </cfRule>
    <cfRule type="cellIs" dxfId="3328" priority="5777" operator="equal">
      <formula>"HC"</formula>
    </cfRule>
    <cfRule type="cellIs" dxfId="3327" priority="5778" operator="equal">
      <formula>"C3"</formula>
    </cfRule>
    <cfRule type="cellIs" dxfId="3326" priority="5779" operator="equal">
      <formula>"C2"</formula>
    </cfRule>
    <cfRule type="cellIs" dxfId="3325" priority="5780" operator="equal">
      <formula>"C1"</formula>
    </cfRule>
    <cfRule type="cellIs" dxfId="3324" priority="5740" operator="equal">
      <formula>"A"</formula>
    </cfRule>
    <cfRule type="cellIs" dxfId="3320" priority="5736" operator="equal">
      <formula>"HC"</formula>
    </cfRule>
    <cfRule type="cellIs" dxfId="3319" priority="5735" operator="equal">
      <formula>"SC"</formula>
    </cfRule>
    <cfRule type="cellIs" dxfId="3318" priority="5734" operator="equal">
      <formula>"A OR B"</formula>
    </cfRule>
    <cfRule type="cellIs" dxfId="3317" priority="5743" operator="equal">
      <formula>"A OR B"</formula>
    </cfRule>
    <cfRule type="cellIs" dxfId="3316" priority="5752" operator="equal">
      <formula>"SC"</formula>
    </cfRule>
    <cfRule type="cellIs" dxfId="3315" priority="5753" operator="equal">
      <formula>"HC"</formula>
    </cfRule>
    <cfRule type="cellIs" dxfId="3312" priority="5741" operator="equal">
      <formula>"C"</formula>
    </cfRule>
    <cfRule type="cellIs" dxfId="3310" priority="5757" operator="equal">
      <formula>"A"</formula>
    </cfRule>
    <cfRule type="cellIs" dxfId="3308" priority="5760" operator="equal">
      <formula>"A OR B"</formula>
    </cfRule>
    <cfRule type="cellIs" dxfId="3307" priority="5758" operator="equal">
      <formula>"C"</formula>
    </cfRule>
    <cfRule type="cellIs" dxfId="3306" priority="5761" operator="equal">
      <formula>"SC"</formula>
    </cfRule>
    <cfRule type="cellIs" dxfId="3305" priority="5751" operator="equal">
      <formula>"A OR B"</formula>
    </cfRule>
    <cfRule type="cellIs" dxfId="3303" priority="5725" operator="equal">
      <formula>"A OR B"</formula>
    </cfRule>
    <cfRule type="cellIs" dxfId="3302" priority="5726" operator="equal">
      <formula>"SC"</formula>
    </cfRule>
    <cfRule type="cellIs" dxfId="3301" priority="5727" operator="equal">
      <formula>"HC"</formula>
    </cfRule>
    <cfRule type="cellIs" dxfId="3298" priority="5762" operator="equal">
      <formula>"HC"</formula>
    </cfRule>
    <cfRule type="cellIs" dxfId="3294" priority="5766" operator="equal">
      <formula>"A"</formula>
    </cfRule>
    <cfRule type="cellIs" dxfId="3293" priority="5768" operator="equal">
      <formula>"SC"</formula>
    </cfRule>
    <cfRule type="cellIs" dxfId="3291" priority="5731" operator="equal">
      <formula>"A"</formula>
    </cfRule>
    <cfRule type="cellIs" dxfId="3290" priority="5732" operator="equal">
      <formula>"C"</formula>
    </cfRule>
  </conditionalFormatting>
  <conditionalFormatting sqref="AG22">
    <cfRule type="cellIs" dxfId="3287" priority="7337" operator="equal">
      <formula>"HC"</formula>
    </cfRule>
    <cfRule type="cellIs" dxfId="3283" priority="7341" operator="equal">
      <formula>"A"</formula>
    </cfRule>
    <cfRule type="cellIs" dxfId="3282" priority="7342" operator="equal">
      <formula>"C"</formula>
    </cfRule>
    <cfRule type="cellIs" dxfId="3280" priority="7344" operator="equal">
      <formula>"A OR B"</formula>
    </cfRule>
    <cfRule type="cellIs" dxfId="3279" priority="7345" operator="equal">
      <formula>"SC"</formula>
    </cfRule>
    <cfRule type="cellIs" dxfId="3278" priority="7346" operator="equal">
      <formula>"HC"</formula>
    </cfRule>
    <cfRule type="cellIs" dxfId="3274" priority="7350" operator="equal">
      <formula>"A"</formula>
    </cfRule>
    <cfRule type="cellIs" dxfId="3273" priority="7351" operator="equal">
      <formula>"C"</formula>
    </cfRule>
    <cfRule type="cellIs" dxfId="3271" priority="7353" operator="equal">
      <formula>"A OR B"</formula>
    </cfRule>
    <cfRule type="cellIs" dxfId="3270" priority="7354" operator="equal">
      <formula>"SC"</formula>
    </cfRule>
    <cfRule type="cellIs" dxfId="3269" priority="7355" operator="equal">
      <formula>"HC"</formula>
    </cfRule>
    <cfRule type="cellIs" dxfId="3265" priority="7359" operator="equal">
      <formula>"A"</formula>
    </cfRule>
    <cfRule type="cellIs" dxfId="3263" priority="7361" operator="equal">
      <formula>"A OR B"</formula>
    </cfRule>
    <cfRule type="cellIs" dxfId="3262" priority="7362" operator="equal">
      <formula>"SC"</formula>
    </cfRule>
    <cfRule type="cellIs" dxfId="3261" priority="7363" operator="equal">
      <formula>"HC"</formula>
    </cfRule>
    <cfRule type="cellIs" dxfId="3257" priority="7367" operator="equal">
      <formula>"A"</formula>
    </cfRule>
    <cfRule type="cellIs" dxfId="3256" priority="7368" operator="equal">
      <formula>"C"</formula>
    </cfRule>
    <cfRule type="cellIs" dxfId="3254" priority="7370" operator="equal">
      <formula>"A OR B"</formula>
    </cfRule>
    <cfRule type="cellIs" dxfId="3253" priority="7372" operator="equal">
      <formula>"HC"</formula>
    </cfRule>
    <cfRule type="cellIs" dxfId="3249" priority="7376" operator="equal">
      <formula>"A"</formula>
    </cfRule>
    <cfRule type="cellIs" dxfId="3248" priority="7377" operator="equal">
      <formula>"SC"</formula>
    </cfRule>
    <cfRule type="cellIs" dxfId="3247" priority="7378" operator="equal">
      <formula>"B"</formula>
    </cfRule>
    <cfRule type="cellIs" dxfId="3246" priority="7379" stopIfTrue="1" operator="equal">
      <formula>"B"</formula>
    </cfRule>
    <cfRule type="cellIs" dxfId="3245" priority="7380" operator="equal">
      <formula>"A"</formula>
    </cfRule>
    <cfRule type="cellIs" dxfId="3244" priority="7381" operator="equal">
      <formula>"C4"</formula>
    </cfRule>
    <cfRule type="cellIs" dxfId="3243" priority="7382" operator="equal">
      <formula>"A OR B"</formula>
    </cfRule>
    <cfRule type="cellIs" dxfId="3242" priority="7383" operator="equal">
      <formula>"HC"</formula>
    </cfRule>
    <cfRule type="cellIs" dxfId="3241" priority="7384" operator="equal">
      <formula>"C3"</formula>
    </cfRule>
    <cfRule type="cellIs" dxfId="3240" priority="7385" operator="equal">
      <formula>"C2"</formula>
    </cfRule>
    <cfRule type="cellIs" dxfId="3239" priority="7386" operator="equal">
      <formula>"C1"</formula>
    </cfRule>
    <cfRule type="cellIs" dxfId="3238" priority="7371" operator="equal">
      <formula>"SC"</formula>
    </cfRule>
    <cfRule type="cellIs" dxfId="3237" priority="7333" operator="equal">
      <formula>"C"</formula>
    </cfRule>
    <cfRule type="cellIs" dxfId="3235" priority="7335" operator="equal">
      <formula>"A OR B"</formula>
    </cfRule>
    <cfRule type="cellIs" dxfId="3234" priority="7336" operator="equal">
      <formula>"SC"</formula>
    </cfRule>
  </conditionalFormatting>
  <conditionalFormatting sqref="AG36">
    <cfRule type="cellIs" dxfId="3233" priority="37" operator="equal">
      <formula>"C"</formula>
    </cfRule>
    <cfRule type="cellIs" dxfId="3232" priority="38" operator="equal">
      <formula>"B"</formula>
    </cfRule>
  </conditionalFormatting>
  <conditionalFormatting sqref="AG38:AG39">
    <cfRule type="cellIs" dxfId="3229" priority="2135" operator="equal">
      <formula>"B"</formula>
    </cfRule>
    <cfRule type="cellIs" dxfId="3228" priority="2134" operator="equal">
      <formula>"C"</formula>
    </cfRule>
    <cfRule type="cellIs" dxfId="3227" priority="43" operator="equal">
      <formula>"C"</formula>
    </cfRule>
    <cfRule type="cellIs" dxfId="3226" priority="44" operator="equal">
      <formula>"B"</formula>
    </cfRule>
  </conditionalFormatting>
  <conditionalFormatting sqref="AG62:AG63">
    <cfRule type="cellIs" dxfId="3222" priority="205" operator="equal">
      <formula>"A"</formula>
    </cfRule>
    <cfRule type="cellIs" dxfId="3221" priority="206" operator="equal">
      <formula>"C"</formula>
    </cfRule>
    <cfRule type="cellIs" dxfId="3220" priority="207" operator="equal">
      <formula>"B"</formula>
    </cfRule>
    <cfRule type="cellIs" dxfId="3218" priority="209" operator="equal">
      <formula>"A OR B"</formula>
    </cfRule>
    <cfRule type="cellIs" dxfId="3217" priority="210" operator="equal">
      <formula>"SC"</formula>
    </cfRule>
    <cfRule type="cellIs" dxfId="3216" priority="211" operator="equal">
      <formula>"HC"</formula>
    </cfRule>
    <cfRule type="cellIs" dxfId="3212" priority="215" operator="equal">
      <formula>"A"</formula>
    </cfRule>
    <cfRule type="cellIs" dxfId="3211" priority="1864" operator="equal">
      <formula>"A OR B"</formula>
    </cfRule>
    <cfRule type="cellIs" dxfId="3209" priority="1861" operator="equal">
      <formula>"C"</formula>
    </cfRule>
    <cfRule type="cellIs" dxfId="3205" priority="7399" operator="equal">
      <formula>"A"</formula>
    </cfRule>
    <cfRule type="cellIs" dxfId="3204" priority="7400" operator="equal">
      <formula>"C"</formula>
    </cfRule>
    <cfRule type="cellIs" dxfId="3203" priority="7401" operator="equal">
      <formula>"B"</formula>
    </cfRule>
    <cfRule type="cellIs" dxfId="3201" priority="7403" operator="equal">
      <formula>"A OR B"</formula>
    </cfRule>
    <cfRule type="cellIs" dxfId="3200" priority="7404" operator="equal">
      <formula>"SC"</formula>
    </cfRule>
    <cfRule type="cellIs" dxfId="3199" priority="7405" operator="equal">
      <formula>"HC"</formula>
    </cfRule>
    <cfRule type="cellIs" dxfId="3195" priority="7409" operator="equal">
      <formula>"A"</formula>
    </cfRule>
    <cfRule type="cellIs" dxfId="3194" priority="7410" operator="equal">
      <formula>"SC"</formula>
    </cfRule>
    <cfRule type="cellIs" dxfId="3193" priority="7411" operator="equal">
      <formula>"B"</formula>
    </cfRule>
    <cfRule type="cellIs" dxfId="3192" priority="1875" operator="equal">
      <formula>"A"</formula>
    </cfRule>
    <cfRule type="cellIs" dxfId="3188" priority="1871" operator="equal">
      <formula>"SC"</formula>
    </cfRule>
    <cfRule type="cellIs" dxfId="3187" priority="1870" operator="equal">
      <formula>"A"</formula>
    </cfRule>
    <cfRule type="cellIs" dxfId="3185" priority="152" operator="equal">
      <formula>"SC"</formula>
    </cfRule>
    <cfRule type="cellIs" dxfId="3182" priority="85" operator="equal">
      <formula>"C"</formula>
    </cfRule>
    <cfRule type="cellIs" dxfId="3181" priority="86" operator="equal">
      <formula>"B"</formula>
    </cfRule>
    <cfRule type="cellIs" dxfId="3179" priority="98" operator="equal">
      <formula>"C"</formula>
    </cfRule>
    <cfRule type="cellIs" dxfId="3178" priority="99" operator="equal">
      <formula>"B"</formula>
    </cfRule>
    <cfRule type="cellIs" dxfId="3177" priority="103" operator="equal">
      <formula>"SC"</formula>
    </cfRule>
    <cfRule type="cellIs" dxfId="3176" priority="117" operator="equal">
      <formula>"B"</formula>
    </cfRule>
    <cfRule type="cellIs" dxfId="3175" priority="118" operator="equal">
      <formula>"C4"</formula>
    </cfRule>
    <cfRule type="cellIs" dxfId="3174" priority="119" operator="equal">
      <formula>"HC"</formula>
    </cfRule>
    <cfRule type="cellIs" dxfId="3173" priority="120" operator="equal">
      <formula>"C3"</formula>
    </cfRule>
    <cfRule type="cellIs" dxfId="3172" priority="121" operator="equal">
      <formula>"C2"</formula>
    </cfRule>
    <cfRule type="cellIs" dxfId="3171" priority="122" operator="equal">
      <formula>"C1"</formula>
    </cfRule>
    <cfRule type="cellIs" dxfId="3169" priority="124" operator="equal">
      <formula>"C"</formula>
    </cfRule>
    <cfRule type="cellIs" dxfId="3168" priority="125" operator="equal">
      <formula>"B"</formula>
    </cfRule>
    <cfRule type="cellIs" dxfId="3166" priority="127" operator="equal">
      <formula>"A OR B"</formula>
    </cfRule>
    <cfRule type="cellIs" dxfId="3165" priority="128" operator="equal">
      <formula>"SC"</formula>
    </cfRule>
    <cfRule type="cellIs" dxfId="3164" priority="129" operator="equal">
      <formula>"HC"</formula>
    </cfRule>
    <cfRule type="cellIs" dxfId="3159" priority="134" operator="equal">
      <formula>"A OR B"</formula>
    </cfRule>
    <cfRule type="cellIs" dxfId="3158" priority="135" operator="equal">
      <formula>"SC"</formula>
    </cfRule>
    <cfRule type="cellIs" dxfId="3157" priority="136" operator="equal">
      <formula>"HC"</formula>
    </cfRule>
    <cfRule type="cellIs" dxfId="3153" priority="140" operator="equal">
      <formula>"A"</formula>
    </cfRule>
    <cfRule type="cellIs" dxfId="3152" priority="141" operator="equal">
      <formula>"C"</formula>
    </cfRule>
    <cfRule type="cellIs" dxfId="3150" priority="143" operator="equal">
      <formula>"A OR B"</formula>
    </cfRule>
    <cfRule type="cellIs" dxfId="3149" priority="144" operator="equal">
      <formula>"SC"</formula>
    </cfRule>
    <cfRule type="cellIs" dxfId="3148" priority="145" operator="equal">
      <formula>"HC"</formula>
    </cfRule>
    <cfRule type="cellIs" dxfId="3144" priority="149" operator="equal">
      <formula>"A"</formula>
    </cfRule>
    <cfRule type="cellIs" dxfId="3142" priority="151" operator="equal">
      <formula>"A OR B"</formula>
    </cfRule>
    <cfRule type="cellIs" dxfId="3141" priority="1866" operator="equal">
      <formula>"HC"</formula>
    </cfRule>
    <cfRule type="cellIs" dxfId="3140" priority="153" operator="equal">
      <formula>"HC"</formula>
    </cfRule>
    <cfRule type="cellIs" dxfId="3136" priority="157" operator="equal">
      <formula>"A"</formula>
    </cfRule>
    <cfRule type="cellIs" dxfId="3135" priority="158" operator="equal">
      <formula>"SC"</formula>
    </cfRule>
    <cfRule type="cellIs" dxfId="3134" priority="161" operator="equal">
      <formula>"C"</formula>
    </cfRule>
    <cfRule type="cellIs" dxfId="3132" priority="164" operator="equal">
      <formula>"A OR B"</formula>
    </cfRule>
    <cfRule type="cellIs" dxfId="3131" priority="165" operator="equal">
      <formula>"SC"</formula>
    </cfRule>
    <cfRule type="cellIs" dxfId="3130" priority="166" operator="equal">
      <formula>"HC"</formula>
    </cfRule>
    <cfRule type="cellIs" dxfId="3125" priority="171" operator="equal">
      <formula>"A OR B"</formula>
    </cfRule>
    <cfRule type="cellIs" dxfId="3124" priority="172" operator="equal">
      <formula>"HC"</formula>
    </cfRule>
    <cfRule type="cellIs" dxfId="3120" priority="176" operator="equal">
      <formula>"B"</formula>
    </cfRule>
    <cfRule type="cellIs" dxfId="3118" priority="178" operator="equal">
      <formula>"A OR B"</formula>
    </cfRule>
    <cfRule type="cellIs" dxfId="3117" priority="179" operator="equal">
      <formula>"SC"</formula>
    </cfRule>
    <cfRule type="cellIs" dxfId="3116" priority="180" operator="equal">
      <formula>"HC"</formula>
    </cfRule>
    <cfRule type="cellIs" dxfId="3112" priority="184" operator="equal">
      <formula>"A"</formula>
    </cfRule>
    <cfRule type="cellIs" dxfId="3111" priority="1865" operator="equal">
      <formula>"SC"</formula>
    </cfRule>
    <cfRule type="cellIs" dxfId="3110" priority="186" operator="equal">
      <formula>"A OR B"</formula>
    </cfRule>
    <cfRule type="cellIs" dxfId="3109" priority="187" operator="equal">
      <formula>"SC"</formula>
    </cfRule>
    <cfRule type="cellIs" dxfId="3108" priority="188" operator="equal">
      <formula>"HC"</formula>
    </cfRule>
    <cfRule type="cellIs" dxfId="3104" priority="192" operator="equal">
      <formula>"A"</formula>
    </cfRule>
    <cfRule type="cellIs" dxfId="3103" priority="193" operator="equal">
      <formula>"SC"</formula>
    </cfRule>
    <cfRule type="cellIs" dxfId="3102" priority="194" operator="equal">
      <formula>"B"</formula>
    </cfRule>
    <cfRule type="cellIs" dxfId="3101" priority="195" operator="equal">
      <formula>"C"</formula>
    </cfRule>
    <cfRule type="cellIs" dxfId="3100" priority="197" operator="equal">
      <formula>"B"</formula>
    </cfRule>
    <cfRule type="cellIs" dxfId="3098" priority="199" operator="equal">
      <formula>"A OR B"</formula>
    </cfRule>
    <cfRule type="cellIs" dxfId="3097" priority="200" operator="equal">
      <formula>"SC"</formula>
    </cfRule>
    <cfRule type="cellIs" dxfId="3096" priority="201" operator="equal">
      <formula>"HC"</formula>
    </cfRule>
  </conditionalFormatting>
  <conditionalFormatting sqref="AG66:AG67 AI66:AI67">
    <cfRule type="cellIs" dxfId="3094" priority="6142" operator="equal">
      <formula>"A OR B"</formula>
    </cfRule>
    <cfRule type="cellIs" dxfId="3093" priority="6085" operator="equal">
      <formula>"A"</formula>
    </cfRule>
    <cfRule type="cellIs" dxfId="3092" priority="6141" operator="equal">
      <formula>"C4"</formula>
    </cfRule>
    <cfRule type="cellIs" dxfId="3091" priority="6143" operator="equal">
      <formula>"SC"</formula>
    </cfRule>
    <cfRule type="cellIs" dxfId="3090" priority="6144" operator="equal">
      <formula>"HC"</formula>
    </cfRule>
    <cfRule type="cellIs" dxfId="3089" priority="6145" operator="equal">
      <formula>"C3"</formula>
    </cfRule>
    <cfRule type="cellIs" dxfId="3088" priority="6146" operator="equal">
      <formula>"C2"</formula>
    </cfRule>
    <cfRule type="cellIs" dxfId="3087" priority="6147" operator="equal">
      <formula>"C1"</formula>
    </cfRule>
  </conditionalFormatting>
  <conditionalFormatting sqref="AG4:AH4">
    <cfRule type="cellIs" dxfId="3080" priority="2529" operator="equal">
      <formula>"A"</formula>
    </cfRule>
    <cfRule type="cellIs" dxfId="3079" priority="2299" operator="equal">
      <formula>"A"</formula>
    </cfRule>
    <cfRule type="cellIs" dxfId="3078" priority="2523" operator="equal">
      <formula>"A OR B"</formula>
    </cfRule>
    <cfRule type="cellIs" dxfId="3076" priority="2524" operator="equal">
      <formula>"SC"</formula>
    </cfRule>
    <cfRule type="cellIs" dxfId="3075" priority="2521" operator="equal">
      <formula>"C"</formula>
    </cfRule>
    <cfRule type="cellIs" dxfId="3074" priority="2520" operator="equal">
      <formula>"A"</formula>
    </cfRule>
    <cfRule type="cellIs" dxfId="3070" priority="2516" operator="equal">
      <formula>"HC"</formula>
    </cfRule>
    <cfRule type="cellIs" dxfId="3069" priority="2515" operator="equal">
      <formula>"SC"</formula>
    </cfRule>
    <cfRule type="cellIs" dxfId="3068" priority="2514" operator="equal">
      <formula>"A OR B"</formula>
    </cfRule>
    <cfRule type="cellIs" dxfId="3066" priority="2512" operator="equal">
      <formula>"A"</formula>
    </cfRule>
    <cfRule type="cellIs" dxfId="3062" priority="2507" operator="equal">
      <formula>"A OR B"</formula>
    </cfRule>
    <cfRule type="cellIs" dxfId="3061" priority="2500" operator="equal">
      <formula>"C1"</formula>
    </cfRule>
    <cfRule type="cellIs" dxfId="3060" priority="2499" operator="equal">
      <formula>"C2"</formula>
    </cfRule>
    <cfRule type="cellIs" dxfId="3059" priority="2498" operator="equal">
      <formula>"C3"</formula>
    </cfRule>
    <cfRule type="cellIs" dxfId="3058" priority="2497" operator="equal">
      <formula>"HC"</formula>
    </cfRule>
    <cfRule type="cellIs" dxfId="3057" priority="2496" operator="equal">
      <formula>"C4"</formula>
    </cfRule>
    <cfRule type="cellIs" dxfId="3056" priority="2494" operator="equal">
      <formula>"B"</formula>
    </cfRule>
    <cfRule type="cellIs" dxfId="3055" priority="2508" operator="equal">
      <formula>"SC"</formula>
    </cfRule>
    <cfRule type="cellIs" dxfId="3054" priority="2525" operator="equal">
      <formula>"HC"</formula>
    </cfRule>
  </conditionalFormatting>
  <conditionalFormatting sqref="AG18:AH18">
    <cfRule type="cellIs" dxfId="3053" priority="5722" operator="equal">
      <formula>"B"</formula>
    </cfRule>
  </conditionalFormatting>
  <conditionalFormatting sqref="AG20:AH20">
    <cfRule type="cellIs" dxfId="3052" priority="5781" operator="equal">
      <formula>"B"</formula>
    </cfRule>
  </conditionalFormatting>
  <conditionalFormatting sqref="AG22:AI22">
    <cfRule type="cellIs" dxfId="3051" priority="5663" operator="equal">
      <formula>"B"</formula>
    </cfRule>
  </conditionalFormatting>
  <conditionalFormatting sqref="AG62:AJ63 AH62:AM62">
    <cfRule type="cellIs" dxfId="3050" priority="7475" operator="equal">
      <formula>"B"</formula>
    </cfRule>
    <cfRule type="cellIs" dxfId="3049" priority="7474" operator="equal">
      <formula>"C"</formula>
    </cfRule>
    <cfRule type="cellIs" dxfId="3048" priority="1862" operator="equal">
      <formula>"B"</formula>
    </cfRule>
  </conditionalFormatting>
  <conditionalFormatting sqref="AG3:AM3">
    <cfRule type="cellIs" dxfId="3047" priority="6049" operator="equal">
      <formula>"B"</formula>
    </cfRule>
  </conditionalFormatting>
  <conditionalFormatting sqref="AG12:AM13">
    <cfRule type="cellIs" dxfId="3046" priority="3572" operator="equal">
      <formula>"C"</formula>
    </cfRule>
  </conditionalFormatting>
  <conditionalFormatting sqref="AG63:AM63">
    <cfRule type="cellIs" dxfId="3043" priority="1856" operator="equal">
      <formula>"HC"</formula>
    </cfRule>
    <cfRule type="cellIs" dxfId="3042" priority="1855" operator="equal">
      <formula>"A OR B"</formula>
    </cfRule>
    <cfRule type="cellIs" dxfId="3040" priority="1853" operator="equal">
      <formula>"SC"</formula>
    </cfRule>
    <cfRule type="cellIs" dxfId="3039" priority="1852" operator="equal">
      <formula>"A"</formula>
    </cfRule>
    <cfRule type="cellIs" dxfId="3035" priority="1848" operator="equal">
      <formula>"HC"</formula>
    </cfRule>
    <cfRule type="cellIs" dxfId="3034" priority="1846" operator="equal">
      <formula>"A OR B"</formula>
    </cfRule>
    <cfRule type="cellIs" dxfId="3032" priority="1844" operator="equal">
      <formula>"A"</formula>
    </cfRule>
    <cfRule type="cellIs" dxfId="3028" priority="1840" operator="equal">
      <formula>"HC"</formula>
    </cfRule>
    <cfRule type="cellIs" dxfId="3027" priority="1839" operator="equal">
      <formula>"SC"</formula>
    </cfRule>
    <cfRule type="cellIs" dxfId="3026" priority="1847" operator="equal">
      <formula>"SC"</formula>
    </cfRule>
    <cfRule type="cellIs" dxfId="3025" priority="1838" operator="equal">
      <formula>"A OR B"</formula>
    </cfRule>
    <cfRule type="cellIs" dxfId="3023" priority="1836" operator="equal">
      <formula>"C"</formula>
    </cfRule>
    <cfRule type="cellIs" dxfId="3022" priority="1860" operator="equal">
      <formula>"B"</formula>
    </cfRule>
  </conditionalFormatting>
  <conditionalFormatting sqref="AG65:AM65 AD12:AM12 AD54:AM54 AG56:AK57 AD57:AF65 AE58:AM59 AK60:AM63 AG60:AL64 AH62:AM62 AD56:AJ56 AD14:AM14 AE15 AK46:AL47">
    <cfRule type="cellIs" dxfId="3020" priority="6445" operator="equal">
      <formula>"C2"</formula>
    </cfRule>
    <cfRule type="cellIs" dxfId="3019" priority="6446" operator="equal">
      <formula>"C1"</formula>
    </cfRule>
    <cfRule type="cellIs" dxfId="3018" priority="6443" operator="equal">
      <formula>"HC"</formula>
    </cfRule>
    <cfRule type="cellIs" dxfId="3017" priority="6444" operator="equal">
      <formula>"C3"</formula>
    </cfRule>
  </conditionalFormatting>
  <conditionalFormatting sqref="AH4">
    <cfRule type="cellIs" dxfId="3015" priority="2270" operator="equal">
      <formula>"SC"</formula>
    </cfRule>
    <cfRule type="cellIs" dxfId="3014" priority="2271" operator="equal">
      <formula>"C"</formula>
    </cfRule>
    <cfRule type="cellIs" dxfId="3012" priority="2291" operator="equal">
      <formula>"C"</formula>
    </cfRule>
    <cfRule type="cellIs" dxfId="3011" priority="2276" operator="equal">
      <formula>"A OR B"</formula>
    </cfRule>
    <cfRule type="cellIs" dxfId="3010" priority="2273" operator="equal">
      <formula>"HC"</formula>
    </cfRule>
    <cfRule type="cellIs" dxfId="3009" priority="2274" operator="equal">
      <formula>"C"</formula>
    </cfRule>
    <cfRule type="cellIs" dxfId="3008" priority="2277" operator="equal">
      <formula>"SC"</formula>
    </cfRule>
    <cfRule type="cellIs" dxfId="3007" priority="2278" operator="equal">
      <formula>"HC"</formula>
    </cfRule>
    <cfRule type="cellIs" dxfId="3002" priority="2282" operator="equal">
      <formula>"A"</formula>
    </cfRule>
    <cfRule type="cellIs" dxfId="3000" priority="2284" operator="equal">
      <formula>"A OR B"</formula>
    </cfRule>
    <cfRule type="cellIs" dxfId="2999" priority="2285" operator="equal">
      <formula>"SC"</formula>
    </cfRule>
    <cfRule type="cellIs" dxfId="2998" priority="2286" operator="equal">
      <formula>"HC"</formula>
    </cfRule>
    <cfRule type="cellIs" dxfId="2994" priority="2290" operator="equal">
      <formula>"A"</formula>
    </cfRule>
    <cfRule type="cellIs" dxfId="2992" priority="2293" operator="equal">
      <formula>"A OR B"</formula>
    </cfRule>
    <cfRule type="cellIs" dxfId="2991" priority="2294" operator="equal">
      <formula>"SC"</formula>
    </cfRule>
    <cfRule type="cellIs" dxfId="2990" priority="2295" operator="equal">
      <formula>"HC"</formula>
    </cfRule>
  </conditionalFormatting>
  <conditionalFormatting sqref="AH6">
    <cfRule type="cellIs" dxfId="2985" priority="2337" operator="equal">
      <formula>"A"</formula>
    </cfRule>
    <cfRule type="cellIs" dxfId="2982" priority="2333" operator="equal">
      <formula>"HC"</formula>
    </cfRule>
    <cfRule type="cellIs" dxfId="2978" priority="2308" operator="equal">
      <formula>"C1"</formula>
    </cfRule>
    <cfRule type="cellIs" dxfId="2977" priority="2306" operator="equal">
      <formula>"C3"</formula>
    </cfRule>
    <cfRule type="cellIs" dxfId="2976" priority="2305" operator="equal">
      <formula>"HC"</formula>
    </cfRule>
    <cfRule type="cellIs" dxfId="2975" priority="2304" operator="equal">
      <formula>"C4"</formula>
    </cfRule>
    <cfRule type="cellIs" dxfId="2974" priority="2301" operator="equal">
      <formula>"A"</formula>
    </cfRule>
    <cfRule type="cellIs" dxfId="2973" priority="2316" operator="equal">
      <formula>"SC"</formula>
    </cfRule>
    <cfRule type="cellIs" dxfId="2972" priority="2307" operator="equal">
      <formula>"C2"</formula>
    </cfRule>
    <cfRule type="cellIs" dxfId="2971" priority="2323" operator="equal">
      <formula>"SC"</formula>
    </cfRule>
    <cfRule type="cellIs" dxfId="2970" priority="2324" operator="equal">
      <formula>"HC"</formula>
    </cfRule>
    <cfRule type="cellIs" dxfId="2969" priority="2315" operator="equal">
      <formula>"A OR B"</formula>
    </cfRule>
    <cfRule type="cellIs" dxfId="2968" priority="2322" operator="equal">
      <formula>"A OR B"</formula>
    </cfRule>
    <cfRule type="cellIs" dxfId="2967" priority="2320" operator="equal">
      <formula>"A"</formula>
    </cfRule>
    <cfRule type="cellIs" dxfId="2963" priority="2331" operator="equal">
      <formula>"A OR B"</formula>
    </cfRule>
    <cfRule type="cellIs" dxfId="2962" priority="2332" operator="equal">
      <formula>"SC"</formula>
    </cfRule>
    <cfRule type="cellIs" dxfId="2961" priority="2328" operator="equal">
      <formula>"A"</formula>
    </cfRule>
    <cfRule type="cellIs" dxfId="2959" priority="2329" operator="equal">
      <formula>"C"</formula>
    </cfRule>
  </conditionalFormatting>
  <conditionalFormatting sqref="AH6:AH7">
    <cfRule type="cellIs" dxfId="2958" priority="2357" operator="equal">
      <formula>"A OR B"</formula>
    </cfRule>
    <cfRule type="cellIs" dxfId="2957" priority="2358" operator="equal">
      <formula>"SC"</formula>
    </cfRule>
    <cfRule type="cellIs" dxfId="2956" priority="2359" operator="equal">
      <formula>"HC"</formula>
    </cfRule>
    <cfRule type="cellIs" dxfId="2952" priority="2" operator="equal">
      <formula>"B"</formula>
    </cfRule>
    <cfRule type="cellIs" dxfId="2951" priority="2363" operator="equal">
      <formula>"A"</formula>
    </cfRule>
    <cfRule type="cellIs" dxfId="2950" priority="2310" operator="equal">
      <formula>"HC"</formula>
    </cfRule>
    <cfRule type="cellIs" dxfId="2948" priority="2300" operator="equal">
      <formula>"SC"</formula>
    </cfRule>
    <cfRule type="cellIs" dxfId="2947" priority="2338" operator="equal">
      <formula>"C"</formula>
    </cfRule>
    <cfRule type="cellIs" dxfId="2945" priority="2340" operator="equal">
      <formula>"A OR B"</formula>
    </cfRule>
    <cfRule type="cellIs" dxfId="2944" priority="2341" operator="equal">
      <formula>"SC"</formula>
    </cfRule>
    <cfRule type="cellIs" dxfId="2943" priority="2342" operator="equal">
      <formula>"HC"</formula>
    </cfRule>
    <cfRule type="cellIs" dxfId="2940" priority="1" operator="equal">
      <formula>"C"</formula>
    </cfRule>
    <cfRule type="cellIs" dxfId="2938" priority="2346" operator="equal">
      <formula>"A"</formula>
    </cfRule>
    <cfRule type="cellIs" dxfId="2936" priority="2348" operator="equal">
      <formula>"A OR B"</formula>
    </cfRule>
    <cfRule type="cellIs" dxfId="2935" priority="2349" operator="equal">
      <formula>"SC"</formula>
    </cfRule>
    <cfRule type="cellIs" dxfId="2934" priority="2350" operator="equal">
      <formula>"HC"</formula>
    </cfRule>
    <cfRule type="cellIs" dxfId="2930" priority="2354" operator="equal">
      <formula>"A"</formula>
    </cfRule>
    <cfRule type="cellIs" dxfId="2929" priority="2355" operator="equal">
      <formula>"C"</formula>
    </cfRule>
  </conditionalFormatting>
  <conditionalFormatting sqref="AH7">
    <cfRule type="cellIs" dxfId="2926" priority="2311" operator="equal">
      <formula>"A OR B"</formula>
    </cfRule>
  </conditionalFormatting>
  <conditionalFormatting sqref="AH64:AH65">
    <cfRule type="cellIs" dxfId="2923" priority="7488" operator="equal">
      <formula>"A"</formula>
    </cfRule>
    <cfRule type="cellIs" dxfId="2921" priority="7484" operator="equal">
      <formula>"HC"</formula>
    </cfRule>
    <cfRule type="cellIs" dxfId="2920" priority="7483" operator="equal">
      <formula>"SC"</formula>
    </cfRule>
    <cfRule type="cellIs" dxfId="2919" priority="7489" operator="equal">
      <formula>"B"</formula>
    </cfRule>
    <cfRule type="cellIs" dxfId="2918" priority="7482" operator="equal">
      <formula>"A OR B"</formula>
    </cfRule>
    <cfRule type="cellIs" dxfId="2916" priority="7480" operator="equal">
      <formula>"B"</formula>
    </cfRule>
    <cfRule type="cellIs" dxfId="2915" priority="7498" operator="equal">
      <formula>"B"</formula>
    </cfRule>
    <cfRule type="cellIs" dxfId="2911" priority="7491" operator="equal">
      <formula>"A OR B"</formula>
    </cfRule>
    <cfRule type="cellIs" dxfId="2910" priority="7492" operator="equal">
      <formula>"SC"</formula>
    </cfRule>
    <cfRule type="cellIs" dxfId="2909" priority="7493" operator="equal">
      <formula>"HC"</formula>
    </cfRule>
    <cfRule type="cellIs" dxfId="2905" priority="7497" operator="equal">
      <formula>"A"</formula>
    </cfRule>
  </conditionalFormatting>
  <conditionalFormatting sqref="AH69">
    <cfRule type="cellIs" dxfId="2904" priority="6068" operator="equal">
      <formula>"C"</formula>
    </cfRule>
  </conditionalFormatting>
  <conditionalFormatting sqref="AH62:AJ63">
    <cfRule type="cellIs" dxfId="2902" priority="7575" operator="equal">
      <formula>"A"</formula>
    </cfRule>
  </conditionalFormatting>
  <conditionalFormatting sqref="AH12:AM12">
    <cfRule type="cellIs" dxfId="2899" priority="7596" operator="equal">
      <formula>"A OR B"</formula>
    </cfRule>
    <cfRule type="cellIs" dxfId="2897" priority="7598" operator="equal">
      <formula>"HC"</formula>
    </cfRule>
    <cfRule type="cellIs" dxfId="2896" priority="7603" operator="equal">
      <formula>"B"</formula>
    </cfRule>
    <cfRule type="cellIs" dxfId="2892" priority="7597" operator="equal">
      <formula>"SC"</formula>
    </cfRule>
    <cfRule type="cellIs" dxfId="2891" priority="7611" operator="equal">
      <formula>"A"</formula>
    </cfRule>
    <cfRule type="cellIs" dxfId="2889" priority="7606" operator="equal">
      <formula>"SC"</formula>
    </cfRule>
    <cfRule type="cellIs" dxfId="2888" priority="7602" operator="equal">
      <formula>"A"</formula>
    </cfRule>
  </conditionalFormatting>
  <conditionalFormatting sqref="AH12:AM13">
    <cfRule type="cellIs" dxfId="2887" priority="5979" operator="equal">
      <formula>"B"</formula>
    </cfRule>
    <cfRule type="cellIs" dxfId="2886" priority="7607" operator="equal">
      <formula>"HC"</formula>
    </cfRule>
    <cfRule type="cellIs" dxfId="2884" priority="7605" operator="equal">
      <formula>"A OR B"</formula>
    </cfRule>
  </conditionalFormatting>
  <conditionalFormatting sqref="AH62:AM62 AG62:AJ63">
    <cfRule type="cellIs" dxfId="2879" priority="7478" operator="equal">
      <formula>"HC"</formula>
    </cfRule>
    <cfRule type="cellIs" dxfId="2878" priority="7477" operator="equal">
      <formula>"A OR B"</formula>
    </cfRule>
    <cfRule type="cellIs" dxfId="2877" priority="7479" operator="equal">
      <formula>"SC"</formula>
    </cfRule>
  </conditionalFormatting>
  <conditionalFormatting sqref="AH62:AM62">
    <cfRule type="cellIs" dxfId="2876" priority="580" operator="equal">
      <formula>"A"</formula>
    </cfRule>
    <cfRule type="cellIs" dxfId="2872" priority="576" operator="equal">
      <formula>"A"</formula>
    </cfRule>
    <cfRule type="cellIs" dxfId="2868" priority="572" operator="equal">
      <formula>"SC"</formula>
    </cfRule>
    <cfRule type="cellIs" dxfId="2867" priority="571" operator="equal">
      <formula>"A"</formula>
    </cfRule>
    <cfRule type="cellIs" dxfId="2863" priority="567" operator="equal">
      <formula>"HC"</formula>
    </cfRule>
    <cfRule type="cellIs" dxfId="2862" priority="566" operator="equal">
      <formula>"SC"</formula>
    </cfRule>
    <cfRule type="cellIs" dxfId="2861" priority="565" operator="equal">
      <formula>"A OR B"</formula>
    </cfRule>
    <cfRule type="cellIs" dxfId="2859" priority="592" operator="equal">
      <formula>"B"</formula>
    </cfRule>
    <cfRule type="cellIs" dxfId="2858" priority="563" operator="equal">
      <formula>"C"</formula>
    </cfRule>
    <cfRule type="cellIs" dxfId="2857" priority="581" operator="equal">
      <formula>"C"</formula>
    </cfRule>
    <cfRule type="cellIs" dxfId="2856" priority="582" operator="equal">
      <formula>"B"</formula>
    </cfRule>
    <cfRule type="cellIs" dxfId="2854" priority="584" operator="equal">
      <formula>"A OR B"</formula>
    </cfRule>
    <cfRule type="cellIs" dxfId="2853" priority="585" operator="equal">
      <formula>"SC"</formula>
    </cfRule>
    <cfRule type="cellIs" dxfId="2852" priority="586" operator="equal">
      <formula>"HC"</formula>
    </cfRule>
    <cfRule type="cellIs" dxfId="2848" priority="590" operator="equal">
      <formula>"A"</formula>
    </cfRule>
    <cfRule type="cellIs" dxfId="2847" priority="591" operator="equal">
      <formula>"SC"</formula>
    </cfRule>
  </conditionalFormatting>
  <conditionalFormatting sqref="AH62:AM63 AM62:AM64">
    <cfRule type="cellIs" dxfId="2846" priority="7552" operator="equal">
      <formula>"A OR B"</formula>
    </cfRule>
  </conditionalFormatting>
  <conditionalFormatting sqref="AH62:AM63">
    <cfRule type="cellIs" dxfId="2842" priority="7553" operator="equal">
      <formula>"SC"</formula>
    </cfRule>
    <cfRule type="cellIs" dxfId="2841" priority="7558" operator="equal">
      <formula>"A"</formula>
    </cfRule>
  </conditionalFormatting>
  <conditionalFormatting sqref="AH65:AM65 AH62:AJ64">
    <cfRule type="cellIs" dxfId="2840" priority="4524" operator="equal">
      <formula>"C"</formula>
    </cfRule>
  </conditionalFormatting>
  <conditionalFormatting sqref="AH65:AM65 AH64:AJ64">
    <cfRule type="cellIs" dxfId="2839" priority="4535" operator="equal">
      <formula>"SC"</formula>
    </cfRule>
    <cfRule type="cellIs" dxfId="2838" priority="4576" operator="equal">
      <formula>"A"</formula>
    </cfRule>
  </conditionalFormatting>
  <conditionalFormatting sqref="AI12:AI13">
    <cfRule type="cellIs" dxfId="2837" priority="2189" operator="equal">
      <formula>"C"</formula>
    </cfRule>
  </conditionalFormatting>
  <conditionalFormatting sqref="AI18 AI20 AI22">
    <cfRule type="cellIs" dxfId="2835" priority="7646" operator="equal">
      <formula>"A OR B"</formula>
    </cfRule>
    <cfRule type="cellIs" dxfId="2834" priority="7647" operator="equal">
      <formula>"SC"</formula>
    </cfRule>
    <cfRule type="cellIs" dxfId="2833" priority="7648" operator="equal">
      <formula>"HC"</formula>
    </cfRule>
    <cfRule type="cellIs" dxfId="2829" priority="7652" operator="equal">
      <formula>"A"</formula>
    </cfRule>
    <cfRule type="cellIs" dxfId="2828" priority="7655" operator="equal">
      <formula>"A OR B"</formula>
    </cfRule>
    <cfRule type="cellIs" dxfId="2827" priority="7657" operator="equal">
      <formula>"HC"</formula>
    </cfRule>
    <cfRule type="cellIs" dxfId="2826" priority="7658" stopIfTrue="1" operator="equal">
      <formula>"B"</formula>
    </cfRule>
    <cfRule type="cellIs" dxfId="2825" priority="7639" operator="equal">
      <formula>"SC"</formula>
    </cfRule>
    <cfRule type="cellIs" dxfId="2824" priority="7638" operator="equal">
      <formula>"A OR B"</formula>
    </cfRule>
    <cfRule type="cellIs" dxfId="2822" priority="7636" operator="equal">
      <formula>"C"</formula>
    </cfRule>
    <cfRule type="cellIs" dxfId="2821" priority="7635" operator="equal">
      <formula>"A"</formula>
    </cfRule>
    <cfRule type="cellIs" dxfId="2817" priority="7631" operator="equal">
      <formula>"HC"</formula>
    </cfRule>
    <cfRule type="cellIs" dxfId="2816" priority="7630" operator="equal">
      <formula>"SC"</formula>
    </cfRule>
    <cfRule type="cellIs" dxfId="2815" priority="7629" operator="equal">
      <formula>"A OR B"</formula>
    </cfRule>
    <cfRule type="cellIs" dxfId="2813" priority="7627" operator="equal">
      <formula>"C"</formula>
    </cfRule>
    <cfRule type="cellIs" dxfId="2812" priority="7626" operator="equal">
      <formula>"A"</formula>
    </cfRule>
    <cfRule type="cellIs" dxfId="2811" priority="7653" operator="equal">
      <formula>"C"</formula>
    </cfRule>
    <cfRule type="cellIs" dxfId="2807" priority="7622" operator="equal">
      <formula>"HC"</formula>
    </cfRule>
    <cfRule type="cellIs" dxfId="2806" priority="7620" operator="equal">
      <formula>"A OR B"</formula>
    </cfRule>
    <cfRule type="cellIs" dxfId="2805" priority="7621" operator="equal">
      <formula>"SC"</formula>
    </cfRule>
    <cfRule type="cellIs" dxfId="2804" priority="7640" operator="equal">
      <formula>"HC"</formula>
    </cfRule>
    <cfRule type="cellIs" dxfId="2800" priority="7644" operator="equal">
      <formula>"A"</formula>
    </cfRule>
  </conditionalFormatting>
  <conditionalFormatting sqref="AI18 AI20:AJ20 AI22:AJ22">
    <cfRule type="cellIs" dxfId="2798" priority="7656" operator="equal">
      <formula>"SC"</formula>
    </cfRule>
  </conditionalFormatting>
  <conditionalFormatting sqref="AI18">
    <cfRule type="cellIs" dxfId="2797" priority="5377" operator="equal">
      <formula>"A"</formula>
    </cfRule>
    <cfRule type="cellIs" dxfId="2796" priority="5378" operator="equal">
      <formula>"C"</formula>
    </cfRule>
    <cfRule type="cellIs" dxfId="2794" priority="5380" operator="equal">
      <formula>"A OR B"</formula>
    </cfRule>
    <cfRule type="cellIs" dxfId="2793" priority="5381" operator="equal">
      <formula>"SC"</formula>
    </cfRule>
    <cfRule type="cellIs" dxfId="2791" priority="5382" operator="equal">
      <formula>"HC"</formula>
    </cfRule>
    <cfRule type="cellIs" dxfId="2788" priority="5423" operator="equal">
      <formula>"HC"</formula>
    </cfRule>
    <cfRule type="cellIs" dxfId="2787" priority="5424" operator="equal">
      <formula>"C3"</formula>
    </cfRule>
    <cfRule type="cellIs" dxfId="2786" priority="5416" operator="equal">
      <formula>"B"</formula>
    </cfRule>
    <cfRule type="cellIs" dxfId="2785" priority="5413" operator="equal">
      <formula>"C"</formula>
    </cfRule>
    <cfRule type="cellIs" dxfId="2784" priority="5412" operator="equal">
      <formula>"A"</formula>
    </cfRule>
    <cfRule type="cellIs" dxfId="2783" priority="5414" operator="equal">
      <formula>"SC"</formula>
    </cfRule>
    <cfRule type="cellIs" dxfId="2780" priority="5373" operator="equal">
      <formula>"HC"</formula>
    </cfRule>
    <cfRule type="cellIs" dxfId="2779" priority="5372" operator="equal">
      <formula>"SC"</formula>
    </cfRule>
    <cfRule type="cellIs" dxfId="2778" priority="5371" operator="equal">
      <formula>"A OR B"</formula>
    </cfRule>
    <cfRule type="cellIs" dxfId="2773" priority="5408" operator="equal">
      <formula>"HC"</formula>
    </cfRule>
    <cfRule type="cellIs" dxfId="2772" priority="5407" operator="equal">
      <formula>"SC"</formula>
    </cfRule>
    <cfRule type="cellIs" dxfId="2771" priority="5406" operator="equal">
      <formula>"A OR B"</formula>
    </cfRule>
    <cfRule type="cellIs" dxfId="2769" priority="5404" operator="equal">
      <formula>"C"</formula>
    </cfRule>
    <cfRule type="cellIs" dxfId="2768" priority="5403" operator="equal">
      <formula>"A"</formula>
    </cfRule>
    <cfRule type="cellIs" dxfId="2764" priority="5399" operator="equal">
      <formula>"HC"</formula>
    </cfRule>
    <cfRule type="cellIs" dxfId="2763" priority="5398" operator="equal">
      <formula>"SC"</formula>
    </cfRule>
    <cfRule type="cellIs" dxfId="2762" priority="5425" operator="equal">
      <formula>"C2"</formula>
    </cfRule>
    <cfRule type="cellIs" dxfId="2761" priority="5426" operator="equal">
      <formula>"C1"</formula>
    </cfRule>
    <cfRule type="cellIs" dxfId="2760" priority="5427" operator="equal">
      <formula>"B"</formula>
    </cfRule>
    <cfRule type="cellIs" dxfId="2759" priority="5419" stopIfTrue="1" operator="equal">
      <formula>"B"</formula>
    </cfRule>
    <cfRule type="cellIs" dxfId="2758" priority="5420" operator="equal">
      <formula>"A"</formula>
    </cfRule>
    <cfRule type="cellIs" dxfId="2756" priority="5421" operator="equal">
      <formula>"C4"</formula>
    </cfRule>
    <cfRule type="cellIs" dxfId="2755" priority="5422" operator="equal">
      <formula>"A OR B"</formula>
    </cfRule>
    <cfRule type="cellIs" dxfId="2754" priority="5397" operator="equal">
      <formula>"A OR B"</formula>
    </cfRule>
    <cfRule type="cellIs" dxfId="2752" priority="5395" operator="equal">
      <formula>"A"</formula>
    </cfRule>
    <cfRule type="cellIs" dxfId="2748" priority="5391" operator="equal">
      <formula>"HC"</formula>
    </cfRule>
    <cfRule type="cellIs" dxfId="2747" priority="5390" operator="equal">
      <formula>"SC"</formula>
    </cfRule>
    <cfRule type="cellIs" dxfId="2746" priority="5389" operator="equal">
      <formula>"A OR B"</formula>
    </cfRule>
    <cfRule type="cellIs" dxfId="2745" priority="5387" operator="equal">
      <formula>"C"</formula>
    </cfRule>
    <cfRule type="cellIs" dxfId="2744" priority="5386" operator="equal">
      <formula>"A"</formula>
    </cfRule>
  </conditionalFormatting>
  <conditionalFormatting sqref="AI20 AI22">
    <cfRule type="cellIs" dxfId="2739" priority="7659" operator="equal">
      <formula>"C"</formula>
    </cfRule>
    <cfRule type="cellIs" dxfId="2738" priority="7616" operator="equal">
      <formula>"A"</formula>
    </cfRule>
    <cfRule type="cellIs" dxfId="2737" priority="7659" operator="equal">
      <formula>"SC"</formula>
    </cfRule>
  </conditionalFormatting>
  <conditionalFormatting sqref="AI20">
    <cfRule type="cellIs" dxfId="2734" priority="5548" operator="equal">
      <formula>"A OR B"</formula>
    </cfRule>
    <cfRule type="cellIs" dxfId="2733" priority="5549" operator="equal">
      <formula>"SC"</formula>
    </cfRule>
    <cfRule type="cellIs" dxfId="2732" priority="5550" operator="equal">
      <formula>"HC"</formula>
    </cfRule>
    <cfRule type="cellIs" dxfId="2730" priority="5599" operator="equal">
      <formula>"A OR B"</formula>
    </cfRule>
    <cfRule type="cellIs" dxfId="2728" priority="5601" operator="equal">
      <formula>"C3"</formula>
    </cfRule>
    <cfRule type="cellIs" dxfId="2726" priority="5554" operator="equal">
      <formula>"A"</formula>
    </cfRule>
    <cfRule type="cellIs" dxfId="2725" priority="5555" operator="equal">
      <formula>"C"</formula>
    </cfRule>
    <cfRule type="cellIs" dxfId="2723" priority="5557" operator="equal">
      <formula>"A OR B"</formula>
    </cfRule>
    <cfRule type="cellIs" dxfId="2722" priority="5558" operator="equal">
      <formula>"SC"</formula>
    </cfRule>
    <cfRule type="cellIs" dxfId="2721" priority="5559" operator="equal">
      <formula>"HC"</formula>
    </cfRule>
    <cfRule type="cellIs" dxfId="2717" priority="5563" operator="equal">
      <formula>"A"</formula>
    </cfRule>
    <cfRule type="cellIs" dxfId="2716" priority="5564" operator="equal">
      <formula>"C"</formula>
    </cfRule>
    <cfRule type="cellIs" dxfId="2714" priority="5566" operator="equal">
      <formula>"A OR B"</formula>
    </cfRule>
    <cfRule type="cellIs" dxfId="2713" priority="5567" operator="equal">
      <formula>"SC"</formula>
    </cfRule>
    <cfRule type="cellIs" dxfId="2712" priority="5597" operator="equal">
      <formula>"A"</formula>
    </cfRule>
    <cfRule type="cellIs" dxfId="2711" priority="5568" operator="equal">
      <formula>"HC"</formula>
    </cfRule>
    <cfRule type="cellIs" dxfId="2706" priority="5580" operator="equal">
      <formula>"A"</formula>
    </cfRule>
    <cfRule type="cellIs" dxfId="2705" priority="5602" operator="equal">
      <formula>"C2"</formula>
    </cfRule>
    <cfRule type="cellIs" dxfId="2704" priority="5603" operator="equal">
      <formula>"C1"</formula>
    </cfRule>
    <cfRule type="cellIs" dxfId="2703" priority="5596" stopIfTrue="1" operator="equal">
      <formula>"B"</formula>
    </cfRule>
    <cfRule type="cellIs" dxfId="2702" priority="5593" operator="equal">
      <formula>"B"</formula>
    </cfRule>
    <cfRule type="cellIs" dxfId="2701" priority="5591" operator="equal">
      <formula>"SC"</formula>
    </cfRule>
    <cfRule type="cellIs" dxfId="2700" priority="5589" operator="equal">
      <formula>"A"</formula>
    </cfRule>
    <cfRule type="cellIs" dxfId="2697" priority="5572" operator="equal">
      <formula>"A"</formula>
    </cfRule>
    <cfRule type="cellIs" dxfId="2695" priority="5574" operator="equal">
      <formula>"A OR B"</formula>
    </cfRule>
    <cfRule type="cellIs" dxfId="2694" priority="5575" operator="equal">
      <formula>"SC"</formula>
    </cfRule>
    <cfRule type="cellIs" dxfId="2693" priority="5576" operator="equal">
      <formula>"HC"</formula>
    </cfRule>
    <cfRule type="cellIs" dxfId="2692" priority="5590" operator="equal">
      <formula>"C"</formula>
    </cfRule>
    <cfRule type="cellIs" dxfId="2688" priority="5581" operator="equal">
      <formula>"C"</formula>
    </cfRule>
    <cfRule type="cellIs" dxfId="2686" priority="5583" operator="equal">
      <formula>"A OR B"</formula>
    </cfRule>
    <cfRule type="cellIs" dxfId="2685" priority="5584" operator="equal">
      <formula>"SC"</formula>
    </cfRule>
    <cfRule type="cellIs" dxfId="2684" priority="5585" operator="equal">
      <formula>"HC"</formula>
    </cfRule>
    <cfRule type="cellIs" dxfId="2683" priority="5604" operator="equal">
      <formula>"B"</formula>
    </cfRule>
    <cfRule type="cellIs" dxfId="2682" priority="5600" operator="equal">
      <formula>"HC"</formula>
    </cfRule>
  </conditionalFormatting>
  <conditionalFormatting sqref="AI22">
    <cfRule type="cellIs" dxfId="2680" priority="5631" operator="equal">
      <formula>"A"</formula>
    </cfRule>
    <cfRule type="cellIs" dxfId="2676" priority="5627" operator="equal">
      <formula>"HC"</formula>
    </cfRule>
    <cfRule type="cellIs" dxfId="2675" priority="5626" operator="equal">
      <formula>"SC"</formula>
    </cfRule>
    <cfRule type="cellIs" dxfId="2674" priority="5625" operator="equal">
      <formula>"A OR B"</formula>
    </cfRule>
    <cfRule type="cellIs" dxfId="2672" priority="5623" operator="equal">
      <formula>"C"</formula>
    </cfRule>
    <cfRule type="cellIs" dxfId="2671" priority="5622" operator="equal">
      <formula>"A"</formula>
    </cfRule>
    <cfRule type="cellIs" dxfId="2667" priority="5618" operator="equal">
      <formula>"HC"</formula>
    </cfRule>
    <cfRule type="cellIs" dxfId="2666" priority="5617" operator="equal">
      <formula>"SC"</formula>
    </cfRule>
    <cfRule type="cellIs" dxfId="2665" priority="5616" operator="equal">
      <formula>"A OR B"</formula>
    </cfRule>
    <cfRule type="cellIs" dxfId="2663" priority="5614" operator="equal">
      <formula>"C"</formula>
    </cfRule>
    <cfRule type="cellIs" dxfId="2662" priority="5613" operator="equal">
      <formula>"A"</formula>
    </cfRule>
    <cfRule type="cellIs" dxfId="2658" priority="5609" operator="equal">
      <formula>"HC"</formula>
    </cfRule>
    <cfRule type="cellIs" dxfId="2657" priority="5608" operator="equal">
      <formula>"SC"</formula>
    </cfRule>
    <cfRule type="cellIs" dxfId="2656" priority="5607" operator="equal">
      <formula>"A OR B"</formula>
    </cfRule>
    <cfRule type="cellIs" dxfId="2654" priority="5662" operator="equal">
      <formula>"C1"</formula>
    </cfRule>
    <cfRule type="cellIs" dxfId="2653" priority="5661" operator="equal">
      <formula>"C2"</formula>
    </cfRule>
    <cfRule type="cellIs" dxfId="2652" priority="5660" operator="equal">
      <formula>"C3"</formula>
    </cfRule>
    <cfRule type="cellIs" dxfId="2651" priority="5659" operator="equal">
      <formula>"HC"</formula>
    </cfRule>
    <cfRule type="cellIs" dxfId="2650" priority="5658" operator="equal">
      <formula>"A OR B"</formula>
    </cfRule>
    <cfRule type="cellIs" dxfId="2649" priority="5656" operator="equal">
      <formula>"A"</formula>
    </cfRule>
    <cfRule type="cellIs" dxfId="2648" priority="5655" stopIfTrue="1" operator="equal">
      <formula>"B"</formula>
    </cfRule>
    <cfRule type="cellIs" dxfId="2647" priority="5652" operator="equal">
      <formula>"B"</formula>
    </cfRule>
    <cfRule type="cellIs" dxfId="2646" priority="5650" operator="equal">
      <formula>"SC"</formula>
    </cfRule>
    <cfRule type="cellIs" dxfId="2645" priority="5649" operator="equal">
      <formula>"C"</formula>
    </cfRule>
    <cfRule type="cellIs" dxfId="2644" priority="5648" operator="equal">
      <formula>"A"</formula>
    </cfRule>
    <cfRule type="cellIs" dxfId="2640" priority="5644" operator="equal">
      <formula>"HC"</formula>
    </cfRule>
    <cfRule type="cellIs" dxfId="2639" priority="5643" operator="equal">
      <formula>"SC"</formula>
    </cfRule>
    <cfRule type="cellIs" dxfId="2638" priority="5642" operator="equal">
      <formula>"A OR B"</formula>
    </cfRule>
    <cfRule type="cellIs" dxfId="2636" priority="5640" operator="equal">
      <formula>"C"</formula>
    </cfRule>
    <cfRule type="cellIs" dxfId="2635" priority="5639" operator="equal">
      <formula>"A"</formula>
    </cfRule>
    <cfRule type="cellIs" dxfId="2631" priority="5635" operator="equal">
      <formula>"HC"</formula>
    </cfRule>
    <cfRule type="cellIs" dxfId="2630" priority="5634" operator="equal">
      <formula>"SC"</formula>
    </cfRule>
    <cfRule type="cellIs" dxfId="2629" priority="5633" operator="equal">
      <formula>"A OR B"</formula>
    </cfRule>
  </conditionalFormatting>
  <conditionalFormatting sqref="AI66:AI67 AJ68:AM69">
    <cfRule type="cellIs" dxfId="2628" priority="7767" operator="equal">
      <formula>"C"</formula>
    </cfRule>
  </conditionalFormatting>
  <conditionalFormatting sqref="AI66:AI67 AJ69:AM69">
    <cfRule type="cellIs" dxfId="2627" priority="7773" operator="equal">
      <formula>"C2"</formula>
    </cfRule>
    <cfRule type="cellIs" dxfId="2626" priority="7760" operator="equal">
      <formula>"HC"</formula>
    </cfRule>
    <cfRule type="cellIs" dxfId="2623" priority="7764" operator="equal">
      <formula>"A"</formula>
    </cfRule>
    <cfRule type="cellIs" dxfId="2621" priority="7748" operator="equal">
      <formula>"HC"</formula>
    </cfRule>
    <cfRule type="cellIs" dxfId="2620" priority="7765" operator="equal">
      <formula>"SC"</formula>
    </cfRule>
    <cfRule type="cellIs" dxfId="2619" priority="7769" operator="equal">
      <formula>"C4"</formula>
    </cfRule>
    <cfRule type="cellIs" dxfId="2618" priority="7770" operator="equal">
      <formula>"A OR B"</formula>
    </cfRule>
    <cfRule type="cellIs" dxfId="2617" priority="7771" operator="equal">
      <formula>"HC"</formula>
    </cfRule>
    <cfRule type="cellIs" dxfId="2616" priority="7772" operator="equal">
      <formula>"C3"</formula>
    </cfRule>
    <cfRule type="cellIs" dxfId="2614" priority="7746" operator="equal">
      <formula>"A OR B"</formula>
    </cfRule>
    <cfRule type="cellIs" dxfId="2613" priority="7774" operator="equal">
      <formula>"C1"</formula>
    </cfRule>
    <cfRule type="cellIs" dxfId="2610" priority="7752" operator="equal">
      <formula>"A"</formula>
    </cfRule>
    <cfRule type="cellIs" dxfId="2609" priority="7753" operator="equal">
      <formula>"SC"</formula>
    </cfRule>
    <cfRule type="cellIs" dxfId="2608" priority="7755" operator="equal">
      <formula>"C"</formula>
    </cfRule>
    <cfRule type="cellIs" dxfId="2607" priority="7756" operator="equal">
      <formula>"B"</formula>
    </cfRule>
    <cfRule type="cellIs" dxfId="2605" priority="7747" operator="equal">
      <formula>"SC"</formula>
    </cfRule>
    <cfRule type="cellIs" dxfId="2603" priority="7758" operator="equal">
      <formula>"A OR B"</formula>
    </cfRule>
    <cfRule type="cellIs" dxfId="2602" priority="7759" operator="equal">
      <formula>"SC"</formula>
    </cfRule>
  </conditionalFormatting>
  <conditionalFormatting sqref="AI20:AJ20 AI22:AJ22">
    <cfRule type="cellIs" dxfId="2599" priority="7775" operator="equal">
      <formula>"HC"</formula>
    </cfRule>
    <cfRule type="cellIs" dxfId="2598" priority="7775" operator="equal">
      <formula>"A OR B"</formula>
    </cfRule>
    <cfRule type="cellIs" dxfId="2597" priority="7775" operator="equal">
      <formula>"C3"</formula>
    </cfRule>
    <cfRule type="cellIs" dxfId="2596" priority="7775" operator="equal">
      <formula>"A"</formula>
    </cfRule>
    <cfRule type="cellIs" dxfId="2595" priority="7775" operator="equal">
      <formula>"C2"</formula>
    </cfRule>
    <cfRule type="cellIs" dxfId="2594" priority="7775" operator="equal">
      <formula>"C1"</formula>
    </cfRule>
    <cfRule type="cellIs" dxfId="2593" priority="7775" operator="equal">
      <formula>"B"</formula>
    </cfRule>
  </conditionalFormatting>
  <conditionalFormatting sqref="AI20:AJ20">
    <cfRule type="cellIs" dxfId="2592" priority="5598" operator="equal">
      <formula>"C4"</formula>
    </cfRule>
  </conditionalFormatting>
  <conditionalFormatting sqref="AI22:AJ22">
    <cfRule type="cellIs" dxfId="2591" priority="5657" operator="equal">
      <formula>"C4"</formula>
    </cfRule>
  </conditionalFormatting>
  <conditionalFormatting sqref="AI64:AJ64 AI67:AM67 AJ69:AM69 AI65:AM65">
    <cfRule type="cellIs" dxfId="2589" priority="7788" operator="equal">
      <formula>"A OR B"</formula>
    </cfRule>
    <cfRule type="cellIs" dxfId="2588" priority="7789" operator="equal">
      <formula>"SC"</formula>
    </cfRule>
  </conditionalFormatting>
  <conditionalFormatting sqref="AI64:AJ64 AI67:AM67 AJ69:AM69">
    <cfRule type="cellIs" dxfId="2587" priority="7790" operator="equal">
      <formula>"HC"</formula>
    </cfRule>
  </conditionalFormatting>
  <conditionalFormatting sqref="AI64:AJ64 AM64 AI65:AM65 AI67:AM67 AJ69:AM69">
    <cfRule type="cellIs" dxfId="2586" priority="7802" operator="equal">
      <formula>"A"</formula>
    </cfRule>
    <cfRule type="cellIs" dxfId="2582" priority="7798" operator="equal">
      <formula>"HC"</formula>
    </cfRule>
    <cfRule type="cellIs" dxfId="2581" priority="7797" operator="equal">
      <formula>"SC"</formula>
    </cfRule>
    <cfRule type="cellIs" dxfId="2580" priority="7796" operator="equal">
      <formula>"A OR B"</formula>
    </cfRule>
    <cfRule type="cellIs" dxfId="2576" priority="7794" operator="equal">
      <formula>"A"</formula>
    </cfRule>
  </conditionalFormatting>
  <conditionalFormatting sqref="AI18:AM18">
    <cfRule type="cellIs" dxfId="2575" priority="5354" operator="equal">
      <formula>"C"</formula>
    </cfRule>
  </conditionalFormatting>
  <conditionalFormatting sqref="AI20:AM20 AI22:AM22">
    <cfRule type="cellIs" dxfId="2574" priority="5472" operator="equal">
      <formula>"C"</formula>
    </cfRule>
  </conditionalFormatting>
  <conditionalFormatting sqref="AI65:AM65 AI67:AM67 AJ69:AM69">
    <cfRule type="cellIs" dxfId="2573" priority="7859" operator="equal">
      <formula>"B"</formula>
    </cfRule>
    <cfRule type="cellIs" dxfId="2572" priority="7860" operator="equal">
      <formula>"A"</formula>
    </cfRule>
    <cfRule type="cellIs" dxfId="2570" priority="7854" operator="equal">
      <formula>"A OR B"</formula>
    </cfRule>
    <cfRule type="cellIs" dxfId="2569" priority="7855" operator="equal">
      <formula>"HC"</formula>
    </cfRule>
  </conditionalFormatting>
  <conditionalFormatting sqref="AI66:AM67">
    <cfRule type="cellIs" dxfId="2565" priority="1797" operator="equal">
      <formula>"B"</formula>
    </cfRule>
    <cfRule type="cellIs" dxfId="2564" priority="1808" operator="equal">
      <formula>"C"</formula>
    </cfRule>
  </conditionalFormatting>
  <conditionalFormatting sqref="AI67:AM67 AJ69:AM69">
    <cfRule type="cellIs" dxfId="2560" priority="7776" operator="equal">
      <formula>"A OR B"</formula>
    </cfRule>
    <cfRule type="cellIs" dxfId="2558" priority="7783" operator="equal">
      <formula>"HC"</formula>
    </cfRule>
    <cfRule type="cellIs" dxfId="2557" priority="7782" operator="equal">
      <formula>"A OR B"</formula>
    </cfRule>
    <cfRule type="cellIs" dxfId="2552" priority="7777" operator="equal">
      <formula>"HC"</formula>
    </cfRule>
  </conditionalFormatting>
  <conditionalFormatting sqref="AI67:AM67">
    <cfRule type="cellIs" dxfId="2551" priority="3551" operator="equal">
      <formula>"C1"</formula>
    </cfRule>
    <cfRule type="cellIs" dxfId="2550" priority="3550" operator="equal">
      <formula>"C2"</formula>
    </cfRule>
    <cfRule type="cellIs" dxfId="2549" priority="3515" operator="equal">
      <formula>"SC"</formula>
    </cfRule>
    <cfRule type="cellIs" dxfId="2548" priority="3516" operator="equal">
      <formula>"A"</formula>
    </cfRule>
    <cfRule type="cellIs" dxfId="2547" priority="3548" operator="equal">
      <formula>"HC"</formula>
    </cfRule>
    <cfRule type="cellIs" dxfId="2546" priority="3549" operator="equal">
      <formula>"C3"</formula>
    </cfRule>
    <cfRule type="cellIs" dxfId="2545" priority="3547" operator="equal">
      <formula>"C4"</formula>
    </cfRule>
  </conditionalFormatting>
  <conditionalFormatting sqref="AJ18">
    <cfRule type="cellIs" dxfId="2543" priority="5344" operator="equal">
      <formula>"A"</formula>
    </cfRule>
    <cfRule type="cellIs" dxfId="2542" priority="5313" operator="equal">
      <formula>"SC"</formula>
    </cfRule>
    <cfRule type="cellIs" dxfId="2541" priority="5367" operator="equal">
      <formula>"C1"</formula>
    </cfRule>
    <cfRule type="cellIs" dxfId="2540" priority="5366" operator="equal">
      <formula>"C2"</formula>
    </cfRule>
    <cfRule type="cellIs" dxfId="2539" priority="5365" operator="equal">
      <formula>"C3"</formula>
    </cfRule>
    <cfRule type="cellIs" dxfId="2538" priority="5364" operator="equal">
      <formula>"HC"</formula>
    </cfRule>
    <cfRule type="cellIs" dxfId="2537" priority="5363" operator="equal">
      <formula>"A OR B"</formula>
    </cfRule>
    <cfRule type="cellIs" dxfId="2536" priority="5362" operator="equal">
      <formula>"C4"</formula>
    </cfRule>
    <cfRule type="cellIs" dxfId="2535" priority="5361" operator="equal">
      <formula>"A"</formula>
    </cfRule>
    <cfRule type="cellIs" dxfId="2534" priority="5360" stopIfTrue="1" operator="equal">
      <formula>"B"</formula>
    </cfRule>
    <cfRule type="cellIs" dxfId="2533" priority="5357" operator="equal">
      <formula>"B"</formula>
    </cfRule>
    <cfRule type="cellIs" dxfId="2532" priority="5355" operator="equal">
      <formula>"SC"</formula>
    </cfRule>
    <cfRule type="cellIs" dxfId="2531" priority="5353" operator="equal">
      <formula>"A"</formula>
    </cfRule>
    <cfRule type="cellIs" dxfId="2527" priority="5349" operator="equal">
      <formula>"HC"</formula>
    </cfRule>
    <cfRule type="cellIs" dxfId="2526" priority="5348" operator="equal">
      <formula>"SC"</formula>
    </cfRule>
    <cfRule type="cellIs" dxfId="2525" priority="5347" operator="equal">
      <formula>"A OR B"</formula>
    </cfRule>
    <cfRule type="cellIs" dxfId="2523" priority="5345" operator="equal">
      <formula>"C"</formula>
    </cfRule>
    <cfRule type="cellIs" dxfId="2522" priority="5312" operator="equal">
      <formula>"A OR B"</formula>
    </cfRule>
    <cfRule type="cellIs" dxfId="2518" priority="5340" operator="equal">
      <formula>"HC"</formula>
    </cfRule>
    <cfRule type="cellIs" dxfId="2517" priority="5339" operator="equal">
      <formula>"SC"</formula>
    </cfRule>
    <cfRule type="cellIs" dxfId="2516" priority="5338" operator="equal">
      <formula>"A OR B"</formula>
    </cfRule>
    <cfRule type="cellIs" dxfId="2514" priority="5336" operator="equal">
      <formula>"A"</formula>
    </cfRule>
    <cfRule type="cellIs" dxfId="2510" priority="5332" operator="equal">
      <formula>"HC"</formula>
    </cfRule>
    <cfRule type="cellIs" dxfId="2509" priority="5331" operator="equal">
      <formula>"SC"</formula>
    </cfRule>
    <cfRule type="cellIs" dxfId="2508" priority="5330" operator="equal">
      <formula>"A OR B"</formula>
    </cfRule>
    <cfRule type="cellIs" dxfId="2506" priority="5328" operator="equal">
      <formula>"C"</formula>
    </cfRule>
    <cfRule type="cellIs" dxfId="2505" priority="5327" operator="equal">
      <formula>"A"</formula>
    </cfRule>
    <cfRule type="cellIs" dxfId="2501" priority="5323" operator="equal">
      <formula>"HC"</formula>
    </cfRule>
    <cfRule type="cellIs" dxfId="2500" priority="5322" operator="equal">
      <formula>"SC"</formula>
    </cfRule>
    <cfRule type="cellIs" dxfId="2499" priority="5321" operator="equal">
      <formula>"A OR B"</formula>
    </cfRule>
    <cfRule type="cellIs" dxfId="2497" priority="5319" operator="equal">
      <formula>"C"</formula>
    </cfRule>
    <cfRule type="cellIs" dxfId="2496" priority="5318" operator="equal">
      <formula>"A"</formula>
    </cfRule>
    <cfRule type="cellIs" dxfId="2492" priority="5314" operator="equal">
      <formula>"HC"</formula>
    </cfRule>
  </conditionalFormatting>
  <conditionalFormatting sqref="AJ20 AJ22">
    <cfRule type="cellIs" dxfId="2491" priority="5458" operator="equal">
      <formula>"HC"</formula>
    </cfRule>
    <cfRule type="cellIs" dxfId="2490" priority="5457" operator="equal">
      <formula>"SC"</formula>
    </cfRule>
    <cfRule type="cellIs" dxfId="2489" priority="5456" operator="equal">
      <formula>"A OR B"</formula>
    </cfRule>
    <cfRule type="cellIs" dxfId="2487" priority="5454" operator="equal">
      <formula>"A"</formula>
    </cfRule>
    <cfRule type="cellIs" dxfId="2483" priority="5450" operator="equal">
      <formula>"HC"</formula>
    </cfRule>
    <cfRule type="cellIs" dxfId="2482" priority="5449" operator="equal">
      <formula>"SC"</formula>
    </cfRule>
    <cfRule type="cellIs" dxfId="2481" priority="5448" operator="equal">
      <formula>"A OR B"</formula>
    </cfRule>
    <cfRule type="cellIs" dxfId="2479" priority="5446" operator="equal">
      <formula>"C"</formula>
    </cfRule>
    <cfRule type="cellIs" dxfId="2478" priority="5445" operator="equal">
      <formula>"A"</formula>
    </cfRule>
    <cfRule type="cellIs" dxfId="2474" priority="5441" operator="equal">
      <formula>"HC"</formula>
    </cfRule>
    <cfRule type="cellIs" dxfId="2473" priority="5440" operator="equal">
      <formula>"SC"</formula>
    </cfRule>
    <cfRule type="cellIs" dxfId="2472" priority="5439" operator="equal">
      <formula>"A OR B"</formula>
    </cfRule>
    <cfRule type="cellIs" dxfId="2470" priority="5437" operator="equal">
      <formula>"C"</formula>
    </cfRule>
    <cfRule type="cellIs" dxfId="2469" priority="5436" operator="equal">
      <formula>"A"</formula>
    </cfRule>
    <cfRule type="cellIs" dxfId="2465" priority="5432" operator="equal">
      <formula>"HC"</formula>
    </cfRule>
    <cfRule type="cellIs" dxfId="2464" priority="5431" operator="equal">
      <formula>"SC"</formula>
    </cfRule>
    <cfRule type="cellIs" dxfId="2463" priority="5430" operator="equal">
      <formula>"A OR B"</formula>
    </cfRule>
    <cfRule type="cellIs" dxfId="2461" priority="5479" operator="equal">
      <formula>"A"</formula>
    </cfRule>
    <cfRule type="cellIs" dxfId="2460" priority="7904" operator="equal">
      <formula>"SC"</formula>
    </cfRule>
    <cfRule type="cellIs" dxfId="2459" priority="7903" operator="equal">
      <formula>"A OR B"</formula>
    </cfRule>
    <cfRule type="cellIs" dxfId="2458" priority="7861" stopIfTrue="1" operator="equal">
      <formula>"B"</formula>
    </cfRule>
    <cfRule type="cellIs" dxfId="2457" priority="5485" operator="equal">
      <formula>"C1"</formula>
    </cfRule>
    <cfRule type="cellIs" dxfId="2456" priority="5484" operator="equal">
      <formula>"C2"</formula>
    </cfRule>
    <cfRule type="cellIs" dxfId="2455" priority="5483" operator="equal">
      <formula>"C3"</formula>
    </cfRule>
    <cfRule type="cellIs" dxfId="2454" priority="5482" operator="equal">
      <formula>"HC"</formula>
    </cfRule>
    <cfRule type="cellIs" dxfId="2453" priority="5481" operator="equal">
      <formula>"A OR B"</formula>
    </cfRule>
    <cfRule type="cellIs" dxfId="2452" priority="5480" operator="equal">
      <formula>"C4"</formula>
    </cfRule>
    <cfRule type="cellIs" dxfId="2451" priority="5478" stopIfTrue="1" operator="equal">
      <formula>"B"</formula>
    </cfRule>
    <cfRule type="cellIs" dxfId="2450" priority="5475" operator="equal">
      <formula>"B"</formula>
    </cfRule>
    <cfRule type="cellIs" dxfId="2449" priority="5473" operator="equal">
      <formula>"SC"</formula>
    </cfRule>
    <cfRule type="cellIs" dxfId="2448" priority="5471" operator="equal">
      <formula>"A"</formula>
    </cfRule>
    <cfRule type="cellIs" dxfId="2444" priority="5467" operator="equal">
      <formula>"HC"</formula>
    </cfRule>
    <cfRule type="cellIs" dxfId="2443" priority="5466" operator="equal">
      <formula>"SC"</formula>
    </cfRule>
    <cfRule type="cellIs" dxfId="2442" priority="5465" operator="equal">
      <formula>"A OR B"</formula>
    </cfRule>
    <cfRule type="cellIs" dxfId="2440" priority="5463" operator="equal">
      <formula>"C"</formula>
    </cfRule>
    <cfRule type="cellIs" dxfId="2439" priority="5462" operator="equal">
      <formula>"A"</formula>
    </cfRule>
    <cfRule type="cellIs" dxfId="2436" priority="7923" operator="equal">
      <formula>"HC"</formula>
    </cfRule>
    <cfRule type="cellIs" dxfId="2435" priority="7944" operator="equal">
      <formula>"A"</formula>
    </cfRule>
    <cfRule type="cellIs" dxfId="2432" priority="7940" operator="equal">
      <formula>"HC"</formula>
    </cfRule>
    <cfRule type="cellIs" dxfId="2431" priority="7939" operator="equal">
      <formula>"SC"</formula>
    </cfRule>
    <cfRule type="cellIs" dxfId="2430" priority="7938" operator="equal">
      <formula>"A OR B"</formula>
    </cfRule>
    <cfRule type="cellIs" dxfId="2428" priority="7936" operator="equal">
      <formula>"C"</formula>
    </cfRule>
    <cfRule type="cellIs" dxfId="2427" priority="7935" operator="equal">
      <formula>"A"</formula>
    </cfRule>
    <cfRule type="cellIs" dxfId="2423" priority="7931" operator="equal">
      <formula>"HC"</formula>
    </cfRule>
    <cfRule type="cellIs" dxfId="2422" priority="7930" operator="equal">
      <formula>"SC"</formula>
    </cfRule>
    <cfRule type="cellIs" dxfId="2421" priority="7929" operator="equal">
      <formula>"A OR B"</formula>
    </cfRule>
    <cfRule type="cellIs" dxfId="2419" priority="7927" operator="equal">
      <formula>"A"</formula>
    </cfRule>
    <cfRule type="cellIs" dxfId="2415" priority="7922" operator="equal">
      <formula>"SC"</formula>
    </cfRule>
    <cfRule type="cellIs" dxfId="2414" priority="7921" operator="equal">
      <formula>"A OR B"</formula>
    </cfRule>
    <cfRule type="cellIs" dxfId="2412" priority="7919" operator="equal">
      <formula>"C"</formula>
    </cfRule>
    <cfRule type="cellIs" dxfId="2411" priority="7918" operator="equal">
      <formula>"A"</formula>
    </cfRule>
    <cfRule type="cellIs" dxfId="2407" priority="7914" operator="equal">
      <formula>"HC"</formula>
    </cfRule>
    <cfRule type="cellIs" dxfId="2406" priority="7913" operator="equal">
      <formula>"SC"</formula>
    </cfRule>
    <cfRule type="cellIs" dxfId="2405" priority="7912" operator="equal">
      <formula>"A OR B"</formula>
    </cfRule>
    <cfRule type="cellIs" dxfId="2403" priority="7910" operator="equal">
      <formula>"C"</formula>
    </cfRule>
    <cfRule type="cellIs" dxfId="2402" priority="7909" operator="equal">
      <formula>"A"</formula>
    </cfRule>
    <cfRule type="cellIs" dxfId="2398" priority="7905" operator="equal">
      <formula>"HC"</formula>
    </cfRule>
  </conditionalFormatting>
  <conditionalFormatting sqref="AJ66:AJ67">
    <cfRule type="cellIs" dxfId="2397" priority="8011" operator="equal">
      <formula>"C4"</formula>
    </cfRule>
    <cfRule type="cellIs" dxfId="2396" priority="8002" operator="equal">
      <formula>"SC"</formula>
    </cfRule>
    <cfRule type="cellIs" dxfId="2395" priority="8003" operator="equal">
      <formula>"HC"</formula>
    </cfRule>
    <cfRule type="cellIs" dxfId="2393" priority="8016" operator="equal">
      <formula>"C1"</formula>
    </cfRule>
    <cfRule type="cellIs" dxfId="2392" priority="8015" operator="equal">
      <formula>"C2"</formula>
    </cfRule>
    <cfRule type="cellIs" dxfId="2391" priority="8014" operator="equal">
      <formula>"C3"</formula>
    </cfRule>
    <cfRule type="cellIs" dxfId="2390" priority="8013" operator="equal">
      <formula>"HC"</formula>
    </cfRule>
    <cfRule type="cellIs" dxfId="2387" priority="8008" operator="equal">
      <formula>"SC"</formula>
    </cfRule>
    <cfRule type="cellIs" dxfId="2386" priority="8007" operator="equal">
      <formula>"A"</formula>
    </cfRule>
    <cfRule type="cellIs" dxfId="2385" priority="8001" operator="equal">
      <formula>"A OR B"</formula>
    </cfRule>
    <cfRule type="cellIs" dxfId="2383" priority="7997" operator="equal">
      <formula>"SC"</formula>
    </cfRule>
    <cfRule type="cellIs" dxfId="2382" priority="7996" operator="equal">
      <formula>"A"</formula>
    </cfRule>
    <cfRule type="cellIs" dxfId="2378" priority="7992" operator="equal">
      <formula>"HC"</formula>
    </cfRule>
    <cfRule type="cellIs" dxfId="2377" priority="7991" operator="equal">
      <formula>"SC"</formula>
    </cfRule>
    <cfRule type="cellIs" dxfId="2376" priority="7990" operator="equal">
      <formula>"A OR B"</formula>
    </cfRule>
    <cfRule type="cellIs" dxfId="2374" priority="8012" operator="equal">
      <formula>"A OR B"</formula>
    </cfRule>
  </conditionalFormatting>
  <conditionalFormatting sqref="AJ66:AJ69 AJ68:AM68">
    <cfRule type="cellIs" dxfId="2373" priority="4297" operator="equal">
      <formula>"B"</formula>
    </cfRule>
  </conditionalFormatting>
  <conditionalFormatting sqref="AJ66:AJ69">
    <cfRule type="cellIs" dxfId="2372" priority="7999" operator="equal">
      <formula>"C"</formula>
    </cfRule>
  </conditionalFormatting>
  <conditionalFormatting sqref="AJ66:AJ73">
    <cfRule type="cellIs" dxfId="2371" priority="3127" operator="equal">
      <formula>"A"</formula>
    </cfRule>
  </conditionalFormatting>
  <conditionalFormatting sqref="AJ68:AJ69">
    <cfRule type="cellIs" dxfId="2370" priority="8034" operator="equal">
      <formula>"HC"</formula>
    </cfRule>
    <cfRule type="cellIs" dxfId="2369" priority="8033" operator="equal">
      <formula>"SC"</formula>
    </cfRule>
    <cfRule type="cellIs" dxfId="2368" priority="8032" operator="equal">
      <formula>"A OR B"</formula>
    </cfRule>
    <cfRule type="cellIs" dxfId="2366" priority="8030" operator="equal">
      <formula>"B"</formula>
    </cfRule>
    <cfRule type="cellIs" dxfId="2365" priority="8045" operator="equal">
      <formula>"HC"</formula>
    </cfRule>
    <cfRule type="cellIs" dxfId="2364" priority="8050" operator="equal">
      <formula>"SC"</formula>
    </cfRule>
    <cfRule type="cellIs" dxfId="2363" priority="8049" operator="equal">
      <formula>"A"</formula>
    </cfRule>
    <cfRule type="cellIs" dxfId="2359" priority="8044" operator="equal">
      <formula>"SC"</formula>
    </cfRule>
    <cfRule type="cellIs" dxfId="2358" priority="8043" operator="equal">
      <formula>"A OR B"</formula>
    </cfRule>
    <cfRule type="cellIs" dxfId="2356" priority="8041" operator="equal">
      <formula>"C"</formula>
    </cfRule>
    <cfRule type="cellIs" dxfId="2355" priority="8039" operator="equal">
      <formula>"SC"</formula>
    </cfRule>
    <cfRule type="cellIs" dxfId="2354" priority="8038" operator="equal">
      <formula>"A"</formula>
    </cfRule>
    <cfRule type="cellIs" dxfId="2350" priority="8068" operator="equal">
      <formula>"B"</formula>
    </cfRule>
    <cfRule type="cellIs" dxfId="2349" priority="8059" operator="equal">
      <formula>"C1"</formula>
    </cfRule>
    <cfRule type="cellIs" dxfId="2348" priority="8058" operator="equal">
      <formula>"C2"</formula>
    </cfRule>
    <cfRule type="cellIs" dxfId="2347" priority="8057" operator="equal">
      <formula>"C3"</formula>
    </cfRule>
    <cfRule type="cellIs" dxfId="2346" priority="8056" operator="equal">
      <formula>"HC"</formula>
    </cfRule>
    <cfRule type="cellIs" dxfId="2345" priority="8055" operator="equal">
      <formula>"A OR B"</formula>
    </cfRule>
    <cfRule type="cellIs" dxfId="2344" priority="8054" operator="equal">
      <formula>"C4"</formula>
    </cfRule>
    <cfRule type="cellIs" dxfId="2343" priority="8052" operator="equal">
      <formula>"C"</formula>
    </cfRule>
  </conditionalFormatting>
  <conditionalFormatting sqref="AJ18:AM18">
    <cfRule type="cellIs" dxfId="2342" priority="5368" operator="equal">
      <formula>"B"</formula>
    </cfRule>
  </conditionalFormatting>
  <conditionalFormatting sqref="AJ20:AM20 AJ22:AM22">
    <cfRule type="cellIs" dxfId="2341" priority="5486" operator="equal">
      <formula>"B"</formula>
    </cfRule>
  </conditionalFormatting>
  <conditionalFormatting sqref="AJ66:AM69">
    <cfRule type="cellIs" dxfId="2340" priority="4267" operator="equal">
      <formula>"C"</formula>
    </cfRule>
  </conditionalFormatting>
  <conditionalFormatting sqref="AJ68:AM68 AJ66:AJ73">
    <cfRule type="cellIs" dxfId="2339" priority="3415" operator="equal">
      <formula>"C2"</formula>
    </cfRule>
    <cfRule type="cellIs" dxfId="2338" priority="3413" operator="equal">
      <formula>"HC"</formula>
    </cfRule>
    <cfRule type="cellIs" dxfId="2337" priority="3412" operator="equal">
      <formula>"C4"</formula>
    </cfRule>
    <cfRule type="cellIs" dxfId="2336" priority="3414" operator="equal">
      <formula>"C3"</formula>
    </cfRule>
    <cfRule type="cellIs" dxfId="2335" priority="3380" operator="equal">
      <formula>"SC"</formula>
    </cfRule>
    <cfRule type="cellIs" dxfId="2334" priority="3416" operator="equal">
      <formula>"C1"</formula>
    </cfRule>
  </conditionalFormatting>
  <conditionalFormatting sqref="AJ68:AM68">
    <cfRule type="cellIs" dxfId="2332" priority="540" operator="equal">
      <formula>"A OR B"</formula>
    </cfRule>
    <cfRule type="cellIs" dxfId="2331" priority="541" operator="equal">
      <formula>"SC"</formula>
    </cfRule>
    <cfRule type="cellIs" dxfId="2329" priority="542" operator="equal">
      <formula>"HC"</formula>
    </cfRule>
    <cfRule type="cellIs" dxfId="2328" priority="537" operator="equal">
      <formula>"B"</formula>
    </cfRule>
    <cfRule type="cellIs" dxfId="2325" priority="546" operator="equal">
      <formula>"A"</formula>
    </cfRule>
    <cfRule type="cellIs" dxfId="2324" priority="547" operator="equal">
      <formula>"SC"</formula>
    </cfRule>
    <cfRule type="cellIs" dxfId="2322" priority="549" operator="equal">
      <formula>"A OR B"</formula>
    </cfRule>
    <cfRule type="cellIs" dxfId="2321" priority="550" operator="equal">
      <formula>"SC"</formula>
    </cfRule>
    <cfRule type="cellIs" dxfId="2320" priority="538" operator="equal">
      <formula>"C"</formula>
    </cfRule>
    <cfRule type="cellIs" dxfId="2319" priority="551" operator="equal">
      <formula>"HC"</formula>
    </cfRule>
    <cfRule type="cellIs" dxfId="2315" priority="555" operator="equal">
      <formula>"A"</formula>
    </cfRule>
    <cfRule type="cellIs" dxfId="2314" priority="556" operator="equal">
      <formula>"SC"</formula>
    </cfRule>
    <cfRule type="cellIs" dxfId="2313" priority="557" operator="equal">
      <formula>"C4"</formula>
    </cfRule>
    <cfRule type="cellIs" dxfId="2312" priority="558" operator="equal">
      <formula>"A OR B"</formula>
    </cfRule>
    <cfRule type="cellIs" dxfId="2311" priority="559" operator="equal">
      <formula>"HC"</formula>
    </cfRule>
    <cfRule type="cellIs" dxfId="2310" priority="560" operator="equal">
      <formula>"C3"</formula>
    </cfRule>
    <cfRule type="cellIs" dxfId="2309" priority="561" operator="equal">
      <formula>"C2"</formula>
    </cfRule>
    <cfRule type="cellIs" dxfId="2308" priority="562" operator="equal">
      <formula>"C1"</formula>
    </cfRule>
  </conditionalFormatting>
  <conditionalFormatting sqref="AJ68:AM69">
    <cfRule type="cellIs" dxfId="2307" priority="3122" operator="equal">
      <formula>"A"</formula>
    </cfRule>
  </conditionalFormatting>
  <conditionalFormatting sqref="AJ69:AM69 AG67 AI67">
    <cfRule type="cellIs" dxfId="2306" priority="7419" operator="equal">
      <formula>"A OR B"</formula>
    </cfRule>
    <cfRule type="cellIs" dxfId="2305" priority="7421" operator="equal">
      <formula>"HC"</formula>
    </cfRule>
    <cfRule type="cellIs" dxfId="2304" priority="7420" operator="equal">
      <formula>"SC"</formula>
    </cfRule>
  </conditionalFormatting>
  <conditionalFormatting sqref="AJ69:AM69 AK71:AM71">
    <cfRule type="cellIs" dxfId="2299" priority="8077" operator="equal">
      <formula>"HC"</formula>
    </cfRule>
    <cfRule type="cellIs" dxfId="2298" priority="8076" operator="equal">
      <formula>"A OR B"</formula>
    </cfRule>
    <cfRule type="cellIs" dxfId="2294" priority="8070" operator="equal">
      <formula>"A OR B"</formula>
    </cfRule>
  </conditionalFormatting>
  <conditionalFormatting sqref="AJ69:AM69 AM69:AM75 AK71:AM71 AL73:AM73">
    <cfRule type="cellIs" dxfId="2292" priority="8083" operator="equal">
      <formula>"SC"</formula>
    </cfRule>
    <cfRule type="cellIs" dxfId="2291" priority="8082" operator="equal">
      <formula>"A OR B"</formula>
    </cfRule>
    <cfRule type="cellIs" dxfId="2286" priority="8084" operator="equal">
      <formula>"HC"</formula>
    </cfRule>
  </conditionalFormatting>
  <conditionalFormatting sqref="AJ69:AM69">
    <cfRule type="cellIs" dxfId="2285" priority="1760" operator="equal">
      <formula>"HC"</formula>
    </cfRule>
    <cfRule type="cellIs" dxfId="2284" priority="1759" operator="equal">
      <formula>"C4"</formula>
    </cfRule>
    <cfRule type="cellIs" dxfId="2283" priority="1758" operator="equal">
      <formula>"C"</formula>
    </cfRule>
    <cfRule type="cellIs" dxfId="2282" priority="1757" operator="equal">
      <formula>"A"</formula>
    </cfRule>
    <cfRule type="cellIs" dxfId="2281" priority="1756" operator="equal">
      <formula>"SC"</formula>
    </cfRule>
    <cfRule type="cellIs" dxfId="2279" priority="8071" operator="equal">
      <formula>"HC"</formula>
    </cfRule>
    <cfRule type="cellIs" dxfId="2278" priority="3094" operator="equal">
      <formula>"SC"</formula>
    </cfRule>
    <cfRule type="cellIs" dxfId="2277" priority="3095" operator="equal">
      <formula>"A"</formula>
    </cfRule>
    <cfRule type="cellIs" dxfId="2276" priority="3096" operator="equal">
      <formula>"C"</formula>
    </cfRule>
    <cfRule type="cellIs" dxfId="2275" priority="3097" operator="equal">
      <formula>"B"</formula>
    </cfRule>
    <cfRule type="cellIs" dxfId="2274" priority="3098" operator="equal">
      <formula>"C4"</formula>
    </cfRule>
    <cfRule type="cellIs" dxfId="2273" priority="3099" operator="equal">
      <formula>"HC"</formula>
    </cfRule>
    <cfRule type="cellIs" dxfId="2272" priority="3100" operator="equal">
      <formula>"C3"</formula>
    </cfRule>
    <cfRule type="cellIs" dxfId="2271" priority="3101" operator="equal">
      <formula>"C2"</formula>
    </cfRule>
    <cfRule type="cellIs" dxfId="2270" priority="3102" operator="equal">
      <formula>"C1"</formula>
    </cfRule>
    <cfRule type="cellIs" dxfId="2268" priority="3104" operator="equal">
      <formula>"A OR B"</formula>
    </cfRule>
    <cfRule type="cellIs" dxfId="2267" priority="3105" operator="equal">
      <formula>"HC"</formula>
    </cfRule>
    <cfRule type="cellIs" dxfId="2263" priority="3109" operator="equal">
      <formula>"C"</formula>
    </cfRule>
    <cfRule type="cellIs" dxfId="2262" priority="3110" operator="equal">
      <formula>"B"</formula>
    </cfRule>
    <cfRule type="cellIs" dxfId="2260" priority="3112" operator="equal">
      <formula>"A OR B"</formula>
    </cfRule>
    <cfRule type="cellIs" dxfId="2259" priority="3113" operator="equal">
      <formula>"HC"</formula>
    </cfRule>
    <cfRule type="cellIs" dxfId="2258" priority="3114" operator="equal">
      <formula>"SC"</formula>
    </cfRule>
    <cfRule type="cellIs" dxfId="2256" priority="3116" operator="equal">
      <formula>"A OR B"</formula>
    </cfRule>
    <cfRule type="cellIs" dxfId="2255" priority="3117" operator="equal">
      <formula>"SC"</formula>
    </cfRule>
    <cfRule type="cellIs" dxfId="2254" priority="3118" operator="equal">
      <formula>"HC"</formula>
    </cfRule>
    <cfRule type="cellIs" dxfId="2250" priority="3123" operator="equal">
      <formula>"SC"</formula>
    </cfRule>
    <cfRule type="cellIs" dxfId="2246" priority="3128" operator="equal">
      <formula>"C"</formula>
    </cfRule>
    <cfRule type="cellIs" dxfId="2245" priority="3129" operator="equal">
      <formula>"B"</formula>
    </cfRule>
    <cfRule type="cellIs" dxfId="2244" priority="3379" operator="equal">
      <formula>"B"</formula>
    </cfRule>
    <cfRule type="cellIs" dxfId="2243" priority="3471" operator="equal">
      <formula>"A OR B"</formula>
    </cfRule>
    <cfRule type="cellIs" dxfId="2242" priority="1788" operator="equal">
      <formula>"C1"</formula>
    </cfRule>
    <cfRule type="cellIs" dxfId="2241" priority="1787" operator="equal">
      <formula>"C2"</formula>
    </cfRule>
    <cfRule type="cellIs" dxfId="2240" priority="1786" operator="equal">
      <formula>"C3"</formula>
    </cfRule>
    <cfRule type="cellIs" dxfId="2239" priority="1785" operator="equal">
      <formula>"HC"</formula>
    </cfRule>
    <cfRule type="cellIs" dxfId="2238" priority="1784" operator="equal">
      <formula>"A OR B"</formula>
    </cfRule>
    <cfRule type="cellIs" dxfId="2237" priority="1783" operator="equal">
      <formula>"C4"</formula>
    </cfRule>
    <cfRule type="cellIs" dxfId="2236" priority="1782" operator="equal">
      <formula>"SC"</formula>
    </cfRule>
    <cfRule type="cellIs" dxfId="2235" priority="1781" operator="equal">
      <formula>"A"</formula>
    </cfRule>
    <cfRule type="cellIs" dxfId="2231" priority="1777" operator="equal">
      <formula>"HC"</formula>
    </cfRule>
    <cfRule type="cellIs" dxfId="2230" priority="1776" operator="equal">
      <formula>"SC"</formula>
    </cfRule>
    <cfRule type="cellIs" dxfId="2229" priority="1775" operator="equal">
      <formula>"A OR B"</formula>
    </cfRule>
    <cfRule type="cellIs" dxfId="2227" priority="1773" operator="equal">
      <formula>"SC"</formula>
    </cfRule>
    <cfRule type="cellIs" dxfId="2226" priority="1772" operator="equal">
      <formula>"A"</formula>
    </cfRule>
    <cfRule type="cellIs" dxfId="2222" priority="1768" operator="equal">
      <formula>"HC"</formula>
    </cfRule>
    <cfRule type="cellIs" dxfId="2221" priority="1767" operator="equal">
      <formula>"SC"</formula>
    </cfRule>
    <cfRule type="cellIs" dxfId="2220" priority="1766" operator="equal">
      <formula>"A OR B"</formula>
    </cfRule>
    <cfRule type="cellIs" dxfId="2218" priority="1764" operator="equal">
      <formula>"B"</formula>
    </cfRule>
    <cfRule type="cellIs" dxfId="2217" priority="1763" operator="equal">
      <formula>"C1"</formula>
    </cfRule>
    <cfRule type="cellIs" dxfId="2216" priority="1762" operator="equal">
      <formula>"C2"</formula>
    </cfRule>
    <cfRule type="cellIs" dxfId="2215" priority="1761" operator="equal">
      <formula>"C3"</formula>
    </cfRule>
  </conditionalFormatting>
  <conditionalFormatting sqref="AJ71:AM71">
    <cfRule type="cellIs" dxfId="2214" priority="1674" operator="equal">
      <formula>"C"</formula>
    </cfRule>
  </conditionalFormatting>
  <conditionalFormatting sqref="AK4">
    <cfRule type="cellIs" dxfId="2213" priority="2561" operator="equal">
      <formula>"HC"</formula>
    </cfRule>
    <cfRule type="cellIs" dxfId="2212" priority="2578" operator="equal">
      <formula>"A OR B"</formula>
    </cfRule>
    <cfRule type="cellIs" dxfId="2211" priority="2558" operator="equal">
      <formula>"B"</formula>
    </cfRule>
    <cfRule type="cellIs" dxfId="2210" priority="2560" operator="equal">
      <formula>"C4"</formula>
    </cfRule>
    <cfRule type="cellIs" dxfId="2209" priority="2579" operator="equal">
      <formula>"SC"</formula>
    </cfRule>
    <cfRule type="cellIs" dxfId="2208" priority="2580" operator="equal">
      <formula>"HC"</formula>
    </cfRule>
    <cfRule type="cellIs" dxfId="2204" priority="2584" operator="equal">
      <formula>"A"</formula>
    </cfRule>
    <cfRule type="cellIs" dxfId="2203" priority="2585" operator="equal">
      <formula>"C"</formula>
    </cfRule>
    <cfRule type="cellIs" dxfId="2201" priority="2587" operator="equal">
      <formula>"A OR B"</formula>
    </cfRule>
    <cfRule type="cellIs" dxfId="2200" priority="2588" operator="equal">
      <formula>"SC"</formula>
    </cfRule>
    <cfRule type="cellIs" dxfId="2199" priority="2589" operator="equal">
      <formula>"HC"</formula>
    </cfRule>
    <cfRule type="cellIs" dxfId="2195" priority="2593" operator="equal">
      <formula>"A"</formula>
    </cfRule>
    <cfRule type="cellIs" dxfId="2194" priority="2562" operator="equal">
      <formula>"C3"</formula>
    </cfRule>
    <cfRule type="cellIs" dxfId="2193" priority="2557" operator="equal">
      <formula>"A"</formula>
    </cfRule>
    <cfRule type="cellIs" dxfId="2191" priority="2563" operator="equal">
      <formula>"C2"</formula>
    </cfRule>
    <cfRule type="cellIs" dxfId="2190" priority="2564" operator="equal">
      <formula>"C1"</formula>
    </cfRule>
    <cfRule type="cellIs" dxfId="2189" priority="2571" operator="equal">
      <formula>"A OR B"</formula>
    </cfRule>
    <cfRule type="cellIs" dxfId="2188" priority="2572" operator="equal">
      <formula>"SC"</formula>
    </cfRule>
    <cfRule type="cellIs" dxfId="2184" priority="2576" operator="equal">
      <formula>"A"</formula>
    </cfRule>
  </conditionalFormatting>
  <conditionalFormatting sqref="AK4:AK5">
    <cfRule type="cellIs" dxfId="2183" priority="2606" operator="equal">
      <formula>"HC"</formula>
    </cfRule>
    <cfRule type="cellIs" dxfId="2179" priority="2610" operator="equal">
      <formula>"A"</formula>
    </cfRule>
    <cfRule type="cellIs" dxfId="2178" priority="2611" operator="equal">
      <formula>"C"</formula>
    </cfRule>
    <cfRule type="cellIs" dxfId="2176" priority="2613" operator="equal">
      <formula>"A OR B"</formula>
    </cfRule>
    <cfRule type="cellIs" dxfId="2175" priority="2614" operator="equal">
      <formula>"SC"</formula>
    </cfRule>
    <cfRule type="cellIs" dxfId="2174" priority="2615" operator="equal">
      <formula>"HC"</formula>
    </cfRule>
    <cfRule type="cellIs" dxfId="2172" priority="2559" operator="equal">
      <formula>"C"</formula>
    </cfRule>
    <cfRule type="cellIs" dxfId="2171" priority="2594" operator="equal">
      <formula>"C"</formula>
    </cfRule>
    <cfRule type="cellIs" dxfId="2170" priority="2556" operator="equal">
      <formula>"SC"</formula>
    </cfRule>
    <cfRule type="cellIs" dxfId="2165" priority="2596" operator="equal">
      <formula>"A OR B"</formula>
    </cfRule>
    <cfRule type="cellIs" dxfId="2164" priority="2597" operator="equal">
      <formula>"SC"</formula>
    </cfRule>
    <cfRule type="cellIs" dxfId="2163" priority="2598" operator="equal">
      <formula>"HC"</formula>
    </cfRule>
    <cfRule type="cellIs" dxfId="2161" priority="2566" operator="equal">
      <formula>"HC"</formula>
    </cfRule>
    <cfRule type="cellIs" dxfId="2160" priority="2619" operator="equal">
      <formula>"A"</formula>
    </cfRule>
    <cfRule type="cellIs" dxfId="2156" priority="2602" operator="equal">
      <formula>"A"</formula>
    </cfRule>
    <cfRule type="cellIs" dxfId="2155" priority="2604" operator="equal">
      <formula>"A OR B"</formula>
    </cfRule>
    <cfRule type="cellIs" dxfId="2154" priority="2605" operator="equal">
      <formula>"SC"</formula>
    </cfRule>
  </conditionalFormatting>
  <conditionalFormatting sqref="AK5">
    <cfRule type="cellIs" dxfId="2153" priority="2567" operator="equal">
      <formula>"A OR B"</formula>
    </cfRule>
  </conditionalFormatting>
  <conditionalFormatting sqref="AK24:AK25">
    <cfRule type="cellIs" dxfId="2149" priority="28" operator="equal">
      <formula>"C"</formula>
    </cfRule>
    <cfRule type="cellIs" dxfId="2148" priority="29" operator="equal">
      <formula>"B"</formula>
    </cfRule>
  </conditionalFormatting>
  <conditionalFormatting sqref="AK27">
    <cfRule type="cellIs" dxfId="2147" priority="2166" operator="equal">
      <formula>"C"</formula>
    </cfRule>
    <cfRule type="cellIs" dxfId="2146" priority="2167" operator="equal">
      <formula>"B"</formula>
    </cfRule>
  </conditionalFormatting>
  <conditionalFormatting sqref="AK38">
    <cfRule type="cellIs" dxfId="2145" priority="41" operator="equal">
      <formula>"C"</formula>
    </cfRule>
    <cfRule type="cellIs" dxfId="2144" priority="42" operator="equal">
      <formula>"B"</formula>
    </cfRule>
  </conditionalFormatting>
  <conditionalFormatting sqref="AK38:AK39">
    <cfRule type="cellIs" dxfId="2143" priority="2127" operator="equal">
      <formula>"B"</formula>
    </cfRule>
    <cfRule type="cellIs" dxfId="2142" priority="2126" operator="equal">
      <formula>"C"</formula>
    </cfRule>
  </conditionalFormatting>
  <conditionalFormatting sqref="AK56">
    <cfRule type="cellIs" dxfId="2140" priority="2057" operator="equal">
      <formula>"A"</formula>
    </cfRule>
    <cfRule type="cellIs" dxfId="2138" priority="2053" operator="equal">
      <formula>"HC"</formula>
    </cfRule>
    <cfRule type="cellIs" dxfId="2137" priority="2052" operator="equal">
      <formula>"SC"</formula>
    </cfRule>
    <cfRule type="cellIs" dxfId="2136" priority="2051" operator="equal">
      <formula>"A OR B"</formula>
    </cfRule>
  </conditionalFormatting>
  <conditionalFormatting sqref="AK56:AK57">
    <cfRule type="cellIs" dxfId="2131" priority="2061" operator="equal">
      <formula>"HC"</formula>
    </cfRule>
    <cfRule type="cellIs" dxfId="2130" priority="2060" operator="equal">
      <formula>"SC"</formula>
    </cfRule>
    <cfRule type="cellIs" dxfId="2128" priority="2059" operator="equal">
      <formula>"A OR B"</formula>
    </cfRule>
    <cfRule type="cellIs" dxfId="2126" priority="2065" operator="equal">
      <formula>"A"</formula>
    </cfRule>
    <cfRule type="cellIs" dxfId="2123" priority="2069" operator="equal">
      <formula>"HC"</formula>
    </cfRule>
    <cfRule type="cellIs" dxfId="2122" priority="2068" operator="equal">
      <formula>"SC"</formula>
    </cfRule>
    <cfRule type="cellIs" dxfId="2121" priority="2067" operator="equal">
      <formula>"A OR B"</formula>
    </cfRule>
  </conditionalFormatting>
  <conditionalFormatting sqref="AK70:AK71">
    <cfRule type="cellIs" dxfId="2118" priority="79" operator="equal">
      <formula>"HC"</formula>
    </cfRule>
    <cfRule type="cellIs" dxfId="2117" priority="1566" operator="equal">
      <formula>"C3"</formula>
    </cfRule>
    <cfRule type="cellIs" dxfId="2116" priority="1565" operator="equal">
      <formula>"HC"</formula>
    </cfRule>
    <cfRule type="cellIs" dxfId="2115" priority="49" operator="equal">
      <formula>"SC"</formula>
    </cfRule>
    <cfRule type="cellIs" dxfId="2114" priority="50" operator="equal">
      <formula>"A"</formula>
    </cfRule>
    <cfRule type="cellIs" dxfId="2113" priority="51" operator="equal">
      <formula>"C"</formula>
    </cfRule>
    <cfRule type="cellIs" dxfId="2112" priority="55" operator="equal">
      <formula>"C4"</formula>
    </cfRule>
    <cfRule type="cellIs" dxfId="2111" priority="56" operator="equal">
      <formula>"HC"</formula>
    </cfRule>
    <cfRule type="cellIs" dxfId="2110" priority="57" operator="equal">
      <formula>"C3"</formula>
    </cfRule>
    <cfRule type="cellIs" dxfId="2109" priority="58" operator="equal">
      <formula>"C2"</formula>
    </cfRule>
    <cfRule type="cellIs" dxfId="2108" priority="59" operator="equal">
      <formula>"C1"</formula>
    </cfRule>
    <cfRule type="cellIs" dxfId="2107" priority="1569" operator="equal">
      <formula>"B"</formula>
    </cfRule>
    <cfRule type="cellIs" dxfId="2106" priority="66" operator="equal">
      <formula>"B"</formula>
    </cfRule>
    <cfRule type="cellIs" dxfId="2104" priority="68" operator="equal">
      <formula>"A OR B"</formula>
    </cfRule>
    <cfRule type="cellIs" dxfId="2103" priority="69" operator="equal">
      <formula>"SC"</formula>
    </cfRule>
    <cfRule type="cellIs" dxfId="2102" priority="70" operator="equal">
      <formula>"HC"</formula>
    </cfRule>
    <cfRule type="cellIs" dxfId="2098" priority="74" operator="equal">
      <formula>"A"</formula>
    </cfRule>
    <cfRule type="cellIs" dxfId="2097" priority="75" operator="equal">
      <formula>"B"</formula>
    </cfRule>
    <cfRule type="cellIs" dxfId="2095" priority="77" operator="equal">
      <formula>"A OR B"</formula>
    </cfRule>
    <cfRule type="cellIs" dxfId="2094" priority="78" operator="equal">
      <formula>"SC"</formula>
    </cfRule>
    <cfRule type="cellIs" dxfId="2090" priority="83" operator="equal">
      <formula>"A"</formula>
    </cfRule>
    <cfRule type="cellIs" dxfId="2089" priority="84" operator="equal">
      <formula>"B"</formula>
    </cfRule>
    <cfRule type="cellIs" dxfId="2086" priority="1640" operator="equal">
      <formula>"C"</formula>
    </cfRule>
    <cfRule type="cellIs" dxfId="2084" priority="1642" operator="equal">
      <formula>"A OR B"</formula>
    </cfRule>
    <cfRule type="cellIs" dxfId="2083" priority="1643" operator="equal">
      <formula>"SC"</formula>
    </cfRule>
    <cfRule type="cellIs" dxfId="2082" priority="1644" operator="equal">
      <formula>"HC"</formula>
    </cfRule>
    <cfRule type="cellIs" dxfId="2080" priority="1564" operator="equal">
      <formula>"A OR B"</formula>
    </cfRule>
    <cfRule type="cellIs" dxfId="2079" priority="1563" operator="equal">
      <formula>"C4"</formula>
    </cfRule>
    <cfRule type="cellIs" dxfId="2078" priority="1562" operator="equal">
      <formula>"C"</formula>
    </cfRule>
    <cfRule type="cellIs" dxfId="2077" priority="1561" operator="equal">
      <formula>"SC"</formula>
    </cfRule>
    <cfRule type="cellIs" dxfId="2076" priority="1560" operator="equal">
      <formula>"A"</formula>
    </cfRule>
    <cfRule type="cellIs" dxfId="2072" priority="1556" operator="equal">
      <formula>"HC"</formula>
    </cfRule>
    <cfRule type="cellIs" dxfId="2071" priority="1555" operator="equal">
      <formula>"SC"</formula>
    </cfRule>
    <cfRule type="cellIs" dxfId="2070" priority="1554" operator="equal">
      <formula>"A OR B"</formula>
    </cfRule>
    <cfRule type="cellIs" dxfId="2068" priority="1552" operator="equal">
      <formula>"C"</formula>
    </cfRule>
    <cfRule type="cellIs" dxfId="2067" priority="1551" operator="equal">
      <formula>"SC"</formula>
    </cfRule>
    <cfRule type="cellIs" dxfId="2066" priority="1550" operator="equal">
      <formula>"A"</formula>
    </cfRule>
    <cfRule type="cellIs" dxfId="2062" priority="1546" operator="equal">
      <formula>"HC"</formula>
    </cfRule>
    <cfRule type="cellIs" dxfId="2061" priority="1545" operator="equal">
      <formula>"SC"</formula>
    </cfRule>
    <cfRule type="cellIs" dxfId="2060" priority="1544" operator="equal">
      <formula>"A OR B"</formula>
    </cfRule>
    <cfRule type="cellIs" dxfId="2058" priority="1568" operator="equal">
      <formula>"C1"</formula>
    </cfRule>
    <cfRule type="cellIs" dxfId="2057" priority="1567" operator="equal">
      <formula>"C2"</formula>
    </cfRule>
  </conditionalFormatting>
  <conditionalFormatting sqref="AK71">
    <cfRule type="cellIs" dxfId="2054" priority="61" operator="equal">
      <formula>"A OR B"</formula>
    </cfRule>
    <cfRule type="cellIs" dxfId="2053" priority="62" operator="equal">
      <formula>"HC"</formula>
    </cfRule>
  </conditionalFormatting>
  <conditionalFormatting sqref="AK18:AL19">
    <cfRule type="cellIs" dxfId="2049" priority="5855" operator="equal">
      <formula>"B"</formula>
    </cfRule>
  </conditionalFormatting>
  <conditionalFormatting sqref="AK33:AL33">
    <cfRule type="cellIs" dxfId="2048" priority="5242" operator="equal">
      <formula>"C"</formula>
    </cfRule>
    <cfRule type="cellIs" dxfId="2047" priority="5243" operator="equal">
      <formula>"B"</formula>
    </cfRule>
  </conditionalFormatting>
  <conditionalFormatting sqref="AK46:AL47">
    <cfRule type="cellIs" dxfId="2046" priority="6357" operator="equal">
      <formula>"B"</formula>
    </cfRule>
    <cfRule type="cellIs" dxfId="2045" priority="6358" operator="equal">
      <formula>"A"</formula>
    </cfRule>
  </conditionalFormatting>
  <conditionalFormatting sqref="AK57:AL57">
    <cfRule type="cellIs" dxfId="2044" priority="1990" operator="equal">
      <formula>"C"</formula>
    </cfRule>
  </conditionalFormatting>
  <conditionalFormatting sqref="AK64:AL64">
    <cfRule type="cellIs" dxfId="2041" priority="8117" operator="equal">
      <formula>"HC"</formula>
    </cfRule>
    <cfRule type="cellIs" dxfId="2039" priority="8116" operator="equal">
      <formula>"SC"</formula>
    </cfRule>
    <cfRule type="cellIs" dxfId="2036" priority="8140" operator="equal">
      <formula>"SC"</formula>
    </cfRule>
    <cfRule type="cellIs" dxfId="2033" priority="8136" operator="equal">
      <formula>"HC"</formula>
    </cfRule>
    <cfRule type="cellIs" dxfId="2032" priority="8135" operator="equal">
      <formula>"SC"</formula>
    </cfRule>
    <cfRule type="cellIs" dxfId="2027" priority="8130" operator="equal">
      <formula>"HC"</formula>
    </cfRule>
    <cfRule type="cellIs" dxfId="2026" priority="8129" operator="equal">
      <formula>"SC"</formula>
    </cfRule>
    <cfRule type="cellIs" dxfId="2024" priority="8127" operator="equal">
      <formula>"SC"</formula>
    </cfRule>
    <cfRule type="cellIs" dxfId="2021" priority="8123" operator="equal">
      <formula>"HC"</formula>
    </cfRule>
    <cfRule type="cellIs" dxfId="2020" priority="8122" operator="equal">
      <formula>"SC"</formula>
    </cfRule>
  </conditionalFormatting>
  <conditionalFormatting sqref="AK66:AL71 AL70:AM70 AG66:AG67 AI66:AI67">
    <cfRule type="cellIs" dxfId="2017" priority="6148" operator="equal">
      <formula>"B"</formula>
    </cfRule>
  </conditionalFormatting>
  <conditionalFormatting sqref="AK66:AL71 AL70:AM70">
    <cfRule type="cellIs" dxfId="2015" priority="4179" operator="equal">
      <formula>"HC"</formula>
    </cfRule>
    <cfRule type="cellIs" dxfId="2014" priority="4168" operator="equal">
      <formula>"SC"</formula>
    </cfRule>
    <cfRule type="cellIs" dxfId="2013" priority="4182" operator="equal">
      <formula>"C1"</formula>
    </cfRule>
    <cfRule type="cellIs" dxfId="2012" priority="4181" operator="equal">
      <formula>"C2"</formula>
    </cfRule>
    <cfRule type="cellIs" dxfId="2011" priority="4180" operator="equal">
      <formula>"C3"</formula>
    </cfRule>
    <cfRule type="cellIs" dxfId="2010" priority="4177" operator="equal">
      <formula>"C4"</formula>
    </cfRule>
    <cfRule type="cellIs" dxfId="2009" priority="4165" operator="equal">
      <formula>"A"</formula>
    </cfRule>
    <cfRule type="cellIs" dxfId="2008" priority="4178" operator="equal">
      <formula>"A OR B"</formula>
    </cfRule>
    <cfRule type="cellIs" dxfId="2007" priority="4174" operator="equal">
      <formula>"C"</formula>
    </cfRule>
  </conditionalFormatting>
  <conditionalFormatting sqref="AK68:AL69">
    <cfRule type="cellIs" dxfId="2005" priority="1738" operator="equal">
      <formula>"C"</formula>
    </cfRule>
    <cfRule type="cellIs" dxfId="2004" priority="1737" operator="equal">
      <formula>"SC"</formula>
    </cfRule>
    <cfRule type="cellIs" dxfId="2003" priority="1736" operator="equal">
      <formula>"A"</formula>
    </cfRule>
    <cfRule type="cellIs" dxfId="2002" priority="1731" operator="equal">
      <formula>"SC"</formula>
    </cfRule>
    <cfRule type="cellIs" dxfId="1999" priority="1732" operator="equal">
      <formula>"HC"</formula>
    </cfRule>
    <cfRule type="cellIs" dxfId="1998" priority="1741" operator="equal">
      <formula>"SC"</formula>
    </cfRule>
    <cfRule type="cellIs" dxfId="1997" priority="1747" operator="equal">
      <formula>"SC"</formula>
    </cfRule>
    <cfRule type="cellIs" dxfId="1996" priority="1748" operator="equal">
      <formula>"C"</formula>
    </cfRule>
    <cfRule type="cellIs" dxfId="1995" priority="1749" operator="equal">
      <formula>"C4"</formula>
    </cfRule>
    <cfRule type="cellIs" dxfId="1993" priority="1754" operator="equal">
      <formula>"C1"</formula>
    </cfRule>
    <cfRule type="cellIs" dxfId="1992" priority="1746" operator="equal">
      <formula>"A"</formula>
    </cfRule>
    <cfRule type="cellIs" dxfId="1991" priority="1750" operator="equal">
      <formula>"A OR B"</formula>
    </cfRule>
    <cfRule type="cellIs" dxfId="1990" priority="1752" operator="equal">
      <formula>"C3"</formula>
    </cfRule>
    <cfRule type="cellIs" dxfId="1989" priority="1753" operator="equal">
      <formula>"C2"</formula>
    </cfRule>
    <cfRule type="cellIs" dxfId="1988" priority="1740" operator="equal">
      <formula>"A OR B"</formula>
    </cfRule>
    <cfRule type="cellIs" dxfId="1987" priority="1755" operator="equal">
      <formula>"B"</formula>
    </cfRule>
    <cfRule type="cellIs" dxfId="1985" priority="1730" operator="equal">
      <formula>"A OR B"</formula>
    </cfRule>
    <cfRule type="cellIs" dxfId="1981" priority="1742" operator="equal">
      <formula>"HC"</formula>
    </cfRule>
    <cfRule type="cellIs" dxfId="1980" priority="1751" operator="equal">
      <formula>"HC"</formula>
    </cfRule>
  </conditionalFormatting>
  <conditionalFormatting sqref="AK68:AL71 AL70:AM70">
    <cfRule type="cellIs" dxfId="1979" priority="1515" operator="equal">
      <formula>"A"</formula>
    </cfRule>
    <cfRule type="cellIs" dxfId="1978" priority="1517" operator="equal">
      <formula>"C"</formula>
    </cfRule>
    <cfRule type="cellIs" dxfId="1977" priority="1528" operator="equal">
      <formula>"SC"</formula>
    </cfRule>
    <cfRule type="cellIs" dxfId="1976" priority="1522" operator="equal">
      <formula>"C2"</formula>
    </cfRule>
    <cfRule type="cellIs" dxfId="1975" priority="1520" operator="equal">
      <formula>"HC"</formula>
    </cfRule>
    <cfRule type="cellIs" dxfId="1974" priority="1521" operator="equal">
      <formula>"C3"</formula>
    </cfRule>
    <cfRule type="cellIs" dxfId="1973" priority="1518" operator="equal">
      <formula>"C4"</formula>
    </cfRule>
    <cfRule type="cellIs" dxfId="1972" priority="1523" operator="equal">
      <formula>"C1"</formula>
    </cfRule>
  </conditionalFormatting>
  <conditionalFormatting sqref="AK22:AM23">
    <cfRule type="cellIs" dxfId="1971" priority="11" operator="equal">
      <formula>"C"</formula>
    </cfRule>
    <cfRule type="cellIs" dxfId="1970" priority="12" operator="equal">
      <formula>"B"</formula>
    </cfRule>
  </conditionalFormatting>
  <conditionalFormatting sqref="AK36:AM36">
    <cfRule type="cellIs" dxfId="1968" priority="35" operator="equal">
      <formula>"C"</formula>
    </cfRule>
    <cfRule type="cellIs" dxfId="1967" priority="36" operator="equal">
      <formula>"B"</formula>
    </cfRule>
  </conditionalFormatting>
  <conditionalFormatting sqref="AK38:AM38">
    <cfRule type="cellIs" dxfId="1965" priority="2125" operator="equal">
      <formula>"B"</formula>
    </cfRule>
    <cfRule type="cellIs" dxfId="1964" priority="2124" operator="equal">
      <formula>"C"</formula>
    </cfRule>
  </conditionalFormatting>
  <conditionalFormatting sqref="AK38:AM40">
    <cfRule type="cellIs" dxfId="1963" priority="2107" operator="equal">
      <formula>"B"</formula>
    </cfRule>
  </conditionalFormatting>
  <conditionalFormatting sqref="AK38:AM42">
    <cfRule type="cellIs" dxfId="1962" priority="2100" operator="equal">
      <formula>"C"</formula>
    </cfRule>
  </conditionalFormatting>
  <conditionalFormatting sqref="AK54:AM55">
    <cfRule type="cellIs" dxfId="1961" priority="2077" operator="equal">
      <formula>"SC"</formula>
    </cfRule>
    <cfRule type="cellIs" dxfId="1960" priority="2082" operator="equal">
      <formula>"A"</formula>
    </cfRule>
    <cfRule type="cellIs" dxfId="1959" priority="2078" operator="equal">
      <formula>"HC"</formula>
    </cfRule>
    <cfRule type="cellIs" dxfId="1955" priority="2076" operator="equal">
      <formula>"A OR B"</formula>
    </cfRule>
  </conditionalFormatting>
  <conditionalFormatting sqref="AK58:AM59">
    <cfRule type="cellIs" dxfId="1952" priority="1925" operator="equal">
      <formula>"HC"</formula>
    </cfRule>
    <cfRule type="cellIs" dxfId="1951" priority="1923" operator="equal">
      <formula>"A OR B"</formula>
    </cfRule>
    <cfRule type="cellIs" dxfId="1948" priority="1921" operator="equal">
      <formula>"A"</formula>
    </cfRule>
    <cfRule type="cellIs" dxfId="1946" priority="1915" operator="equal">
      <formula>"A OR B"</formula>
    </cfRule>
    <cfRule type="cellIs" dxfId="1943" priority="1924" operator="equal">
      <formula>"SC"</formula>
    </cfRule>
    <cfRule type="cellIs" dxfId="1942" priority="1917" operator="equal">
      <formula>"HC"</formula>
    </cfRule>
    <cfRule type="cellIs" dxfId="1940" priority="1931" operator="equal">
      <formula>"B"</formula>
    </cfRule>
    <cfRule type="cellIs" dxfId="1939" priority="1916" operator="equal">
      <formula>"SC"</formula>
    </cfRule>
  </conditionalFormatting>
  <conditionalFormatting sqref="AK58:AM61">
    <cfRule type="cellIs" dxfId="1937" priority="1892" operator="equal">
      <formula>"A"</formula>
    </cfRule>
    <cfRule type="cellIs" dxfId="1936" priority="1893" operator="equal">
      <formula>"SC"</formula>
    </cfRule>
  </conditionalFormatting>
  <conditionalFormatting sqref="AK58:AM63">
    <cfRule type="cellIs" dxfId="1935" priority="1911" operator="equal">
      <formula>"C"</formula>
    </cfRule>
    <cfRule type="cellIs" dxfId="1934" priority="1929" operator="equal">
      <formula>"A"</formula>
    </cfRule>
    <cfRule type="cellIs" dxfId="1933" priority="1930" operator="equal">
      <formula>"SC"</formula>
    </cfRule>
  </conditionalFormatting>
  <conditionalFormatting sqref="AK60:AM61">
    <cfRule type="cellIs" dxfId="1931" priority="1888" operator="equal">
      <formula>"HC"</formula>
    </cfRule>
    <cfRule type="cellIs" dxfId="1930" priority="1887" operator="equal">
      <formula>"SC"</formula>
    </cfRule>
    <cfRule type="cellIs" dxfId="1928" priority="1886" operator="equal">
      <formula>"A OR B"</formula>
    </cfRule>
  </conditionalFormatting>
  <conditionalFormatting sqref="AK60:AM63">
    <cfRule type="cellIs" dxfId="1925" priority="1824" operator="equal">
      <formula>"C"</formula>
    </cfRule>
    <cfRule type="cellIs" dxfId="1921" priority="1831" operator="equal">
      <formula>"SC"</formula>
    </cfRule>
    <cfRule type="cellIs" dxfId="1920" priority="1835" operator="equal">
      <formula>"A"</formula>
    </cfRule>
    <cfRule type="cellIs" dxfId="1919" priority="1829" operator="equal">
      <formula>"A OR B"</formula>
    </cfRule>
    <cfRule type="cellIs" dxfId="1917" priority="1830" operator="equal">
      <formula>"HC"</formula>
    </cfRule>
  </conditionalFormatting>
  <conditionalFormatting sqref="AK62:AM63">
    <cfRule type="cellIs" dxfId="1916" priority="1825" operator="equal">
      <formula>"B"</formula>
    </cfRule>
  </conditionalFormatting>
  <conditionalFormatting sqref="AK66:AM67">
    <cfRule type="cellIs" dxfId="1915" priority="1795" operator="equal">
      <formula>"C1"</formula>
    </cfRule>
    <cfRule type="cellIs" dxfId="1914" priority="1796" operator="equal">
      <formula>"C"</formula>
    </cfRule>
    <cfRule type="cellIs" dxfId="1912" priority="1800" operator="equal">
      <formula>"A OR B"</formula>
    </cfRule>
    <cfRule type="cellIs" dxfId="1911" priority="1801" operator="equal">
      <formula>"SC"</formula>
    </cfRule>
    <cfRule type="cellIs" dxfId="1910" priority="1802" operator="equal">
      <formula>"HC"</formula>
    </cfRule>
    <cfRule type="cellIs" dxfId="1906" priority="1806" operator="equal">
      <formula>"A"</formula>
    </cfRule>
    <cfRule type="cellIs" dxfId="1905" priority="1807" operator="equal">
      <formula>"SC"</formula>
    </cfRule>
    <cfRule type="cellIs" dxfId="1902" priority="1812" operator="equal">
      <formula>"HC"</formula>
    </cfRule>
    <cfRule type="cellIs" dxfId="1901" priority="1823" operator="equal">
      <formula>"C1"</formula>
    </cfRule>
    <cfRule type="cellIs" dxfId="1900" priority="1822" operator="equal">
      <formula>"C2"</formula>
    </cfRule>
    <cfRule type="cellIs" dxfId="1899" priority="1821" operator="equal">
      <formula>"C3"</formula>
    </cfRule>
    <cfRule type="cellIs" dxfId="1898" priority="1820" operator="equal">
      <formula>"HC"</formula>
    </cfRule>
    <cfRule type="cellIs" dxfId="1897" priority="1819" operator="equal">
      <formula>"A OR B"</formula>
    </cfRule>
    <cfRule type="cellIs" dxfId="1896" priority="1818" operator="equal">
      <formula>"C4"</formula>
    </cfRule>
    <cfRule type="cellIs" dxfId="1895" priority="1810" operator="equal">
      <formula>"A OR B"</formula>
    </cfRule>
    <cfRule type="cellIs" dxfId="1894" priority="1817" operator="equal">
      <formula>"SC"</formula>
    </cfRule>
    <cfRule type="cellIs" dxfId="1892" priority="1789" operator="equal">
      <formula>"A"</formula>
    </cfRule>
    <cfRule type="cellIs" dxfId="1891" priority="1790" operator="equal">
      <formula>"SC"</formula>
    </cfRule>
    <cfRule type="cellIs" dxfId="1890" priority="1816" operator="equal">
      <formula>"A"</formula>
    </cfRule>
    <cfRule type="cellIs" dxfId="1889" priority="1791" operator="equal">
      <formula>"C4"</formula>
    </cfRule>
    <cfRule type="cellIs" dxfId="1888" priority="1792" operator="equal">
      <formula>"HC"</formula>
    </cfRule>
    <cfRule type="cellIs" dxfId="1887" priority="1793" operator="equal">
      <formula>"C3"</formula>
    </cfRule>
    <cfRule type="cellIs" dxfId="1886" priority="1794" operator="equal">
      <formula>"C2"</formula>
    </cfRule>
    <cfRule type="cellIs" dxfId="1884" priority="1811" operator="equal">
      <formula>"SC"</formula>
    </cfRule>
  </conditionalFormatting>
  <conditionalFormatting sqref="AK67:AM67 AG66:AG67">
    <cfRule type="cellIs" dxfId="1883" priority="6077" operator="equal">
      <formula>"C"</formula>
    </cfRule>
  </conditionalFormatting>
  <conditionalFormatting sqref="AK71:AM71">
    <cfRule type="cellIs" dxfId="1880" priority="1693" operator="equal">
      <formula>"A OR B"</formula>
    </cfRule>
    <cfRule type="cellIs" dxfId="1879" priority="1694" operator="equal">
      <formula>"SC"</formula>
    </cfRule>
    <cfRule type="cellIs" dxfId="1878" priority="1695" operator="equal">
      <formula>"HC"</formula>
    </cfRule>
    <cfRule type="cellIs" dxfId="1874" priority="1699" operator="equal">
      <formula>"A"</formula>
    </cfRule>
    <cfRule type="cellIs" dxfId="1872" priority="1701" operator="equal">
      <formula>"A OR B"</formula>
    </cfRule>
    <cfRule type="cellIs" dxfId="1871" priority="1702" operator="equal">
      <formula>"SC"</formula>
    </cfRule>
    <cfRule type="cellIs" dxfId="1870" priority="1703" operator="equal">
      <formula>"HC"</formula>
    </cfRule>
    <cfRule type="cellIs" dxfId="1866" priority="1707" operator="equal">
      <formula>"A"</formula>
    </cfRule>
    <cfRule type="cellIs" dxfId="1864" priority="1709" operator="equal">
      <formula>"A OR B"</formula>
    </cfRule>
    <cfRule type="cellIs" dxfId="1863" priority="1710" operator="equal">
      <formula>"HC"</formula>
    </cfRule>
    <cfRule type="cellIs" dxfId="1859" priority="1714" operator="equal">
      <formula>"B"</formula>
    </cfRule>
    <cfRule type="cellIs" dxfId="1858" priority="1715" operator="equal">
      <formula>"A"</formula>
    </cfRule>
    <cfRule type="cellIs" dxfId="1856" priority="1717" operator="equal">
      <formula>"HC"</formula>
    </cfRule>
    <cfRule type="cellIs" dxfId="1851" priority="1586" operator="equal">
      <formula>"A"</formula>
    </cfRule>
    <cfRule type="cellIs" dxfId="1850" priority="1587" operator="equal">
      <formula>"SC"</formula>
    </cfRule>
    <cfRule type="cellIs" dxfId="1848" priority="1589" operator="equal">
      <formula>"A OR B"</formula>
    </cfRule>
    <cfRule type="cellIs" dxfId="1847" priority="1590" operator="equal">
      <formula>"SC"</formula>
    </cfRule>
    <cfRule type="cellIs" dxfId="1846" priority="1591" operator="equal">
      <formula>"HC"</formula>
    </cfRule>
    <cfRule type="cellIs" dxfId="1842" priority="1595" operator="equal">
      <formula>"A"</formula>
    </cfRule>
    <cfRule type="cellIs" dxfId="1841" priority="1596" operator="equal">
      <formula>"SC"</formula>
    </cfRule>
    <cfRule type="cellIs" dxfId="1840" priority="1597" operator="equal">
      <formula>"C4"</formula>
    </cfRule>
    <cfRule type="cellIs" dxfId="1839" priority="1598" operator="equal">
      <formula>"A OR B"</formula>
    </cfRule>
    <cfRule type="cellIs" dxfId="1838" priority="1599" operator="equal">
      <formula>"HC"</formula>
    </cfRule>
    <cfRule type="cellIs" dxfId="1837" priority="1600" operator="equal">
      <formula>"C3"</formula>
    </cfRule>
    <cfRule type="cellIs" dxfId="1836" priority="1601" operator="equal">
      <formula>"C2"</formula>
    </cfRule>
    <cfRule type="cellIs" dxfId="1835" priority="1602" operator="equal">
      <formula>"C1"</formula>
    </cfRule>
    <cfRule type="cellIs" dxfId="1834" priority="1605" operator="equal">
      <formula>"C"</formula>
    </cfRule>
    <cfRule type="cellIs" dxfId="1833" priority="1570" operator="equal">
      <formula>"SC"</formula>
    </cfRule>
    <cfRule type="cellIs" dxfId="1832" priority="1571" operator="equal">
      <formula>"A"</formula>
    </cfRule>
    <cfRule type="cellIs" dxfId="1831" priority="1572" operator="equal">
      <formula>"C"</formula>
    </cfRule>
    <cfRule type="cellIs" dxfId="1830" priority="1573" operator="equal">
      <formula>"C4"</formula>
    </cfRule>
    <cfRule type="cellIs" dxfId="1829" priority="1574" operator="equal">
      <formula>"HC"</formula>
    </cfRule>
    <cfRule type="cellIs" dxfId="1828" priority="1575" operator="equal">
      <formula>"C3"</formula>
    </cfRule>
    <cfRule type="cellIs" dxfId="1827" priority="1576" operator="equal">
      <formula>"C2"</formula>
    </cfRule>
    <cfRule type="cellIs" dxfId="1826" priority="1577" operator="equal">
      <formula>"C1"</formula>
    </cfRule>
    <cfRule type="cellIs" dxfId="1825" priority="1578" operator="equal">
      <formula>"B"</formula>
    </cfRule>
    <cfRule type="cellIs" dxfId="1823" priority="1580" operator="equal">
      <formula>"A OR B"</formula>
    </cfRule>
    <cfRule type="cellIs" dxfId="1822" priority="1581" operator="equal">
      <formula>"SC"</formula>
    </cfRule>
    <cfRule type="cellIs" dxfId="1821" priority="1582" operator="equal">
      <formula>"HC"</formula>
    </cfRule>
    <cfRule type="cellIs" dxfId="1820" priority="1606" operator="equal">
      <formula>"B"</formula>
    </cfRule>
    <cfRule type="cellIs" dxfId="1818" priority="1613" operator="equal">
      <formula>"A OR B"</formula>
    </cfRule>
    <cfRule type="cellIs" dxfId="1817" priority="1614" operator="equal">
      <formula>"HC"</formula>
    </cfRule>
    <cfRule type="cellIs" dxfId="1813" priority="1618" operator="equal">
      <formula>"C"</formula>
    </cfRule>
    <cfRule type="cellIs" dxfId="1812" priority="1619" operator="equal">
      <formula>"B"</formula>
    </cfRule>
    <cfRule type="cellIs" dxfId="1810" priority="1621" operator="equal">
      <formula>"A OR B"</formula>
    </cfRule>
    <cfRule type="cellIs" dxfId="1809" priority="1622" operator="equal">
      <formula>"HC"</formula>
    </cfRule>
    <cfRule type="cellIs" dxfId="1808" priority="1623" operator="equal">
      <formula>"SC"</formula>
    </cfRule>
    <cfRule type="cellIs" dxfId="1806" priority="1625" operator="equal">
      <formula>"A OR B"</formula>
    </cfRule>
    <cfRule type="cellIs" dxfId="1805" priority="1626" operator="equal">
      <formula>"SC"</formula>
    </cfRule>
    <cfRule type="cellIs" dxfId="1804" priority="1627" operator="equal">
      <formula>"HC"</formula>
    </cfRule>
    <cfRule type="cellIs" dxfId="1800" priority="1631" operator="equal">
      <formula>"A"</formula>
    </cfRule>
    <cfRule type="cellIs" dxfId="1799" priority="1632" operator="equal">
      <formula>"SC"</formula>
    </cfRule>
    <cfRule type="cellIs" dxfId="1795" priority="1636" operator="equal">
      <formula>"C"</formula>
    </cfRule>
    <cfRule type="cellIs" dxfId="1794" priority="1637" operator="equal">
      <formula>"B"</formula>
    </cfRule>
    <cfRule type="cellIs" dxfId="1793" priority="1638" operator="equal">
      <formula>"A OR B"</formula>
    </cfRule>
    <cfRule type="cellIs" dxfId="1792" priority="1639" operator="equal">
      <formula>"B"</formula>
    </cfRule>
    <cfRule type="cellIs" dxfId="1791" priority="1648" operator="equal">
      <formula>"A OR B"</formula>
    </cfRule>
    <cfRule type="cellIs" dxfId="1790" priority="1649" operator="equal">
      <formula>"SC"</formula>
    </cfRule>
    <cfRule type="cellIs" dxfId="1789" priority="1650" operator="equal">
      <formula>"HC"</formula>
    </cfRule>
    <cfRule type="cellIs" dxfId="1784" priority="1655" operator="equal">
      <formula>"A OR B"</formula>
    </cfRule>
    <cfRule type="cellIs" dxfId="1783" priority="1656" operator="equal">
      <formula>"SC"</formula>
    </cfRule>
    <cfRule type="cellIs" dxfId="1782" priority="1657" operator="equal">
      <formula>"HC"</formula>
    </cfRule>
    <cfRule type="cellIs" dxfId="1778" priority="1661" operator="equal">
      <formula>"A"</formula>
    </cfRule>
    <cfRule type="cellIs" dxfId="1777" priority="1662" operator="equal">
      <formula>"SC"</formula>
    </cfRule>
    <cfRule type="cellIs" dxfId="1776" priority="1663" operator="equal">
      <formula>"C"</formula>
    </cfRule>
    <cfRule type="cellIs" dxfId="1775" priority="1664" operator="equal">
      <formula>"B"</formula>
    </cfRule>
    <cfRule type="cellIs" dxfId="1773" priority="1666" operator="equal">
      <formula>"A OR B"</formula>
    </cfRule>
    <cfRule type="cellIs" dxfId="1772" priority="1667" operator="equal">
      <formula>"SC"</formula>
    </cfRule>
    <cfRule type="cellIs" dxfId="1771" priority="1668" operator="equal">
      <formula>"HC"</formula>
    </cfRule>
    <cfRule type="cellIs" dxfId="1767" priority="1672" operator="equal">
      <formula>"A"</formula>
    </cfRule>
    <cfRule type="cellIs" dxfId="1766" priority="1673" operator="equal">
      <formula>"SC"</formula>
    </cfRule>
    <cfRule type="cellIs" dxfId="1765" priority="1675" operator="equal">
      <formula>"C4"</formula>
    </cfRule>
    <cfRule type="cellIs" dxfId="1764" priority="1676" operator="equal">
      <formula>"A OR B"</formula>
    </cfRule>
    <cfRule type="cellIs" dxfId="1763" priority="1677" operator="equal">
      <formula>"HC"</formula>
    </cfRule>
    <cfRule type="cellIs" dxfId="1762" priority="1678" operator="equal">
      <formula>"C3"</formula>
    </cfRule>
    <cfRule type="cellIs" dxfId="1761" priority="1679" operator="equal">
      <formula>"C2"</formula>
    </cfRule>
    <cfRule type="cellIs" dxfId="1760" priority="1680" operator="equal">
      <formula>"C1"</formula>
    </cfRule>
    <cfRule type="cellIs" dxfId="1759" priority="1681" operator="equal">
      <formula>"A OR B"</formula>
    </cfRule>
    <cfRule type="cellIs" dxfId="1758" priority="1682" operator="equal">
      <formula>"HC"</formula>
    </cfRule>
    <cfRule type="cellIs" dxfId="1753" priority="1687" operator="equal">
      <formula>"A OR B"</formula>
    </cfRule>
    <cfRule type="cellIs" dxfId="1752" priority="1688" operator="equal">
      <formula>"HC"</formula>
    </cfRule>
  </conditionalFormatting>
  <conditionalFormatting sqref="AL56:AL57">
    <cfRule type="cellIs" dxfId="1749" priority="1971" operator="equal">
      <formula>"B"</formula>
    </cfRule>
    <cfRule type="cellIs" dxfId="1748" priority="1970" operator="equal">
      <formula>"C"</formula>
    </cfRule>
  </conditionalFormatting>
  <conditionalFormatting sqref="AL57">
    <cfRule type="cellIs" dxfId="1746" priority="1972" operator="equal">
      <formula>"C4"</formula>
    </cfRule>
    <cfRule type="cellIs" dxfId="1745" priority="1976" operator="equal">
      <formula>"C1"</formula>
    </cfRule>
    <cfRule type="cellIs" dxfId="1744" priority="1975" operator="equal">
      <formula>"C2"</formula>
    </cfRule>
    <cfRule type="cellIs" dxfId="1743" priority="1977" operator="equal">
      <formula>"A OR B"</formula>
    </cfRule>
    <cfRule type="cellIs" dxfId="1742" priority="2009" operator="equal">
      <formula>"B"</formula>
    </cfRule>
    <cfRule type="cellIs" dxfId="1738" priority="1974" operator="equal">
      <formula>"C3"</formula>
    </cfRule>
    <cfRule type="cellIs" dxfId="1737" priority="1973" operator="equal">
      <formula>"HC"</formula>
    </cfRule>
    <cfRule type="cellIs" dxfId="1736" priority="2003" operator="equal">
      <formula>"A OR B"</formula>
    </cfRule>
    <cfRule type="cellIs" dxfId="1734" priority="1969" operator="equal">
      <formula>"SC"</formula>
    </cfRule>
    <cfRule type="cellIs" dxfId="1733" priority="1968" operator="equal">
      <formula>"A"</formula>
    </cfRule>
    <cfRule type="cellIs" dxfId="1729" priority="1991" operator="equal">
      <formula>"SC"</formula>
    </cfRule>
    <cfRule type="cellIs" dxfId="1728" priority="1989" operator="equal">
      <formula>"A"</formula>
    </cfRule>
    <cfRule type="cellIs" dxfId="1724" priority="1984" operator="equal">
      <formula>"SC"</formula>
    </cfRule>
    <cfRule type="cellIs" dxfId="1723" priority="1983" operator="equal">
      <formula>"A OR B"</formula>
    </cfRule>
    <cfRule type="cellIs" dxfId="1721" priority="1981" operator="equal">
      <formula>"SC"</formula>
    </cfRule>
    <cfRule type="cellIs" dxfId="1720" priority="1980" operator="equal">
      <formula>"HC"</formula>
    </cfRule>
    <cfRule type="cellIs" dxfId="1719" priority="1979" operator="equal">
      <formula>"A OR B"</formula>
    </cfRule>
    <cfRule type="cellIs" dxfId="1718" priority="1985" operator="equal">
      <formula>"HC"</formula>
    </cfRule>
  </conditionalFormatting>
  <conditionalFormatting sqref="AL70:AL71">
    <cfRule type="cellIs" dxfId="1717" priority="1501" operator="equal">
      <formula>"HC"</formula>
    </cfRule>
    <cfRule type="cellIs" dxfId="1716" priority="1500" operator="equal">
      <formula>"SC"</formula>
    </cfRule>
    <cfRule type="cellIs" dxfId="1715" priority="1505" operator="equal">
      <formula>"A"</formula>
    </cfRule>
    <cfRule type="cellIs" dxfId="1714" priority="1499" operator="equal">
      <formula>"A OR B"</formula>
    </cfRule>
    <cfRule type="cellIs" dxfId="1708" priority="1529" operator="equal">
      <formula>"HC"</formula>
    </cfRule>
    <cfRule type="cellIs" dxfId="1707" priority="1527" operator="equal">
      <formula>"A OR B"</formula>
    </cfRule>
    <cfRule type="cellIs" dxfId="1705" priority="1524" operator="equal">
      <formula>"B"</formula>
    </cfRule>
    <cfRule type="cellIs" dxfId="1704" priority="1519" operator="equal">
      <formula>"A OR B"</formula>
    </cfRule>
    <cfRule type="cellIs" dxfId="1703" priority="1516" operator="equal">
      <formula>"SC"</formula>
    </cfRule>
    <cfRule type="cellIs" dxfId="1700" priority="1511" operator="equal">
      <formula>"HC"</formula>
    </cfRule>
    <cfRule type="cellIs" dxfId="1697" priority="1509" operator="equal">
      <formula>"A OR B"</formula>
    </cfRule>
    <cfRule type="cellIs" dxfId="1695" priority="1507" operator="equal">
      <formula>"C"</formula>
    </cfRule>
    <cfRule type="cellIs" dxfId="1694" priority="1510" operator="equal">
      <formula>"SC"</formula>
    </cfRule>
    <cfRule type="cellIs" dxfId="1692" priority="1506" operator="equal">
      <formula>"SC"</formula>
    </cfRule>
  </conditionalFormatting>
  <conditionalFormatting sqref="AL72:AL73">
    <cfRule type="cellIs" dxfId="1691" priority="2850" operator="equal">
      <formula>"A OR B"</formula>
    </cfRule>
    <cfRule type="cellIs" dxfId="1690" priority="2852" operator="equal">
      <formula>"HC"</formula>
    </cfRule>
    <cfRule type="cellIs" dxfId="1687" priority="2820" operator="equal">
      <formula>"SC"</formula>
    </cfRule>
    <cfRule type="cellIs" dxfId="1686" priority="2819" operator="equal">
      <formula>"A"</formula>
    </cfRule>
    <cfRule type="cellIs" dxfId="1682" priority="2815" operator="equal">
      <formula>"HC"</formula>
    </cfRule>
    <cfRule type="cellIs" dxfId="1681" priority="2814" operator="equal">
      <formula>"SC"</formula>
    </cfRule>
    <cfRule type="cellIs" dxfId="1680" priority="2813" operator="equal">
      <formula>"A OR B"</formula>
    </cfRule>
    <cfRule type="cellIs" dxfId="1678" priority="2811" operator="equal">
      <formula>"B"</formula>
    </cfRule>
    <cfRule type="cellIs" dxfId="1677" priority="2810" operator="equal">
      <formula>"C"</formula>
    </cfRule>
    <cfRule type="cellIs" dxfId="1676" priority="2851" operator="equal">
      <formula>"SC"</formula>
    </cfRule>
    <cfRule type="cellIs" dxfId="1675" priority="2808" operator="equal">
      <formula>"A"</formula>
    </cfRule>
    <cfRule type="cellIs" dxfId="1671" priority="2804" operator="equal">
      <formula>"HC"</formula>
    </cfRule>
    <cfRule type="cellIs" dxfId="1670" priority="2803" operator="equal">
      <formula>"SC"</formula>
    </cfRule>
    <cfRule type="cellIs" dxfId="1669" priority="2802" operator="equal">
      <formula>"A OR B"</formula>
    </cfRule>
    <cfRule type="cellIs" dxfId="1667" priority="2800" operator="equal">
      <formula>"B"</formula>
    </cfRule>
    <cfRule type="cellIs" dxfId="1662" priority="2796" operator="equal">
      <formula>"HC"</formula>
    </cfRule>
    <cfRule type="cellIs" dxfId="1661" priority="2795" operator="equal">
      <formula>"SC"</formula>
    </cfRule>
    <cfRule type="cellIs" dxfId="1659" priority="2793" operator="equal">
      <formula>"A"</formula>
    </cfRule>
    <cfRule type="cellIs" dxfId="1655" priority="2789" operator="equal">
      <formula>"HC"</formula>
    </cfRule>
    <cfRule type="cellIs" dxfId="1654" priority="2788" operator="equal">
      <formula>"SC"</formula>
    </cfRule>
    <cfRule type="cellIs" dxfId="1653" priority="2787" operator="equal">
      <formula>"A OR B"</formula>
    </cfRule>
    <cfRule type="cellIs" dxfId="1652" priority="2821" operator="equal">
      <formula>"C"</formula>
    </cfRule>
    <cfRule type="cellIs" dxfId="1651" priority="2856" operator="equal">
      <formula>"A"</formula>
    </cfRule>
    <cfRule type="cellIs" dxfId="1650" priority="2857" operator="equal">
      <formula>"C1"</formula>
    </cfRule>
    <cfRule type="cellIs" dxfId="1648" priority="2859" operator="equal">
      <formula>"SC"</formula>
    </cfRule>
    <cfRule type="cellIs" dxfId="1647" priority="2860" operator="equal">
      <formula>"HC"</formula>
    </cfRule>
    <cfRule type="cellIs" dxfId="1643" priority="2891" operator="equal">
      <formula>"C1"</formula>
    </cfRule>
    <cfRule type="cellIs" dxfId="1642" priority="2822" operator="equal">
      <formula>"C4"</formula>
    </cfRule>
    <cfRule type="cellIs" dxfId="1641" priority="2890" operator="equal">
      <formula>"C2"</formula>
    </cfRule>
    <cfRule type="cellIs" dxfId="1640" priority="2889" operator="equal">
      <formula>"C3"</formula>
    </cfRule>
    <cfRule type="cellIs" dxfId="1639" priority="2784" operator="equal">
      <formula>"C"</formula>
    </cfRule>
    <cfRule type="cellIs" dxfId="1638" priority="2783" operator="equal">
      <formula>"B"</formula>
    </cfRule>
    <cfRule type="cellIs" dxfId="1637" priority="2888" operator="equal">
      <formula>"HC"</formula>
    </cfRule>
    <cfRule type="cellIs" dxfId="1636" priority="2887" operator="equal">
      <formula>"A OR B"</formula>
    </cfRule>
    <cfRule type="cellIs" dxfId="1635" priority="2886" operator="equal">
      <formula>"C4"</formula>
    </cfRule>
    <cfRule type="cellIs" dxfId="1634" priority="2885" operator="equal">
      <formula>"C"</formula>
    </cfRule>
    <cfRule type="cellIs" dxfId="1633" priority="2823" operator="equal">
      <formula>"A OR B"</formula>
    </cfRule>
    <cfRule type="cellIs" dxfId="1632" priority="2824" operator="equal">
      <formula>"HC"</formula>
    </cfRule>
    <cfRule type="cellIs" dxfId="1631" priority="2825" operator="equal">
      <formula>"C3"</formula>
    </cfRule>
    <cfRule type="cellIs" dxfId="1630" priority="2826" operator="equal">
      <formula>"C2"</formula>
    </cfRule>
    <cfRule type="cellIs" dxfId="1629" priority="2827" operator="equal">
      <formula>"C1"</formula>
    </cfRule>
    <cfRule type="cellIs" dxfId="1628" priority="2828" operator="equal">
      <formula>"B"</formula>
    </cfRule>
    <cfRule type="cellIs" dxfId="1627" priority="2884" operator="equal">
      <formula>"SC"</formula>
    </cfRule>
    <cfRule type="cellIs" dxfId="1623" priority="2879" operator="equal">
      <formula>"HC"</formula>
    </cfRule>
    <cfRule type="cellIs" dxfId="1622" priority="2809" operator="equal">
      <formula>"SC"</formula>
    </cfRule>
    <cfRule type="cellIs" dxfId="1621" priority="2878" operator="equal">
      <formula>"SC"</formula>
    </cfRule>
    <cfRule type="cellIs" dxfId="1620" priority="2877" operator="equal">
      <formula>"A OR B"</formula>
    </cfRule>
    <cfRule type="cellIs" dxfId="1619" priority="2875" operator="equal">
      <formula>"B"</formula>
    </cfRule>
    <cfRule type="cellIs" dxfId="1618" priority="2874" operator="equal">
      <formula>"C"</formula>
    </cfRule>
    <cfRule type="cellIs" dxfId="1617" priority="2873" operator="equal">
      <formula>"SC"</formula>
    </cfRule>
    <cfRule type="cellIs" dxfId="1616" priority="2872" operator="equal">
      <formula>"A"</formula>
    </cfRule>
    <cfRule type="cellIs" dxfId="1612" priority="2868" operator="equal">
      <formula>"HC"</formula>
    </cfRule>
    <cfRule type="cellIs" dxfId="1611" priority="2867" operator="equal">
      <formula>"SC"</formula>
    </cfRule>
    <cfRule type="cellIs" dxfId="1610" priority="2866" operator="equal">
      <formula>"A OR B"</formula>
    </cfRule>
    <cfRule type="cellIs" dxfId="1608" priority="2864" operator="equal">
      <formula>"B"</formula>
    </cfRule>
    <cfRule type="cellIs" dxfId="1606" priority="2883" operator="equal">
      <formula>"A"</formula>
    </cfRule>
  </conditionalFormatting>
  <conditionalFormatting sqref="AL73">
    <cfRule type="cellIs" dxfId="1600" priority="2712" operator="equal">
      <formula>"A OR B"</formula>
    </cfRule>
    <cfRule type="cellIs" dxfId="1599" priority="2713" operator="equal">
      <formula>"HC"</formula>
    </cfRule>
    <cfRule type="cellIs" dxfId="1592" priority="2837" operator="equal">
      <formula>"A OR B"</formula>
    </cfRule>
    <cfRule type="cellIs" dxfId="1591" priority="2838" operator="equal">
      <formula>"HC"</formula>
    </cfRule>
    <cfRule type="cellIs" dxfId="1586" priority="2843" operator="equal">
      <formula>"A OR B"</formula>
    </cfRule>
    <cfRule type="cellIs" dxfId="1585" priority="2844" operator="equal">
      <formula>"SC"</formula>
    </cfRule>
    <cfRule type="cellIs" dxfId="1584" priority="2845" operator="equal">
      <formula>"HC"</formula>
    </cfRule>
    <cfRule type="cellIs" dxfId="1579" priority="2686" operator="equal">
      <formula>"A"</formula>
    </cfRule>
    <cfRule type="cellIs" dxfId="1574" priority="2778" operator="equal">
      <formula>"HC"</formula>
    </cfRule>
    <cfRule type="cellIs" dxfId="1573" priority="2777" operator="equal">
      <formula>"A OR B"</formula>
    </cfRule>
    <cfRule type="cellIs" dxfId="1568" priority="2772" operator="equal">
      <formula>"HC"</formula>
    </cfRule>
    <cfRule type="cellIs" dxfId="1567" priority="2771" operator="equal">
      <formula>"A OR B"</formula>
    </cfRule>
    <cfRule type="cellIs" dxfId="1565" priority="2769" operator="equal">
      <formula>"B"</formula>
    </cfRule>
    <cfRule type="cellIs" dxfId="1564" priority="2768" operator="equal">
      <formula>"C1"</formula>
    </cfRule>
    <cfRule type="cellIs" dxfId="1563" priority="2767" operator="equal">
      <formula>"C2"</formula>
    </cfRule>
    <cfRule type="cellIs" dxfId="1562" priority="2766" operator="equal">
      <formula>"C3"</formula>
    </cfRule>
    <cfRule type="cellIs" dxfId="1561" priority="2765" operator="equal">
      <formula>"HC"</formula>
    </cfRule>
    <cfRule type="cellIs" dxfId="1560" priority="2764" operator="equal">
      <formula>"A OR B"</formula>
    </cfRule>
    <cfRule type="cellIs" dxfId="1559" priority="2763" operator="equal">
      <formula>"C4"</formula>
    </cfRule>
    <cfRule type="cellIs" dxfId="1558" priority="2762" operator="equal">
      <formula>"C"</formula>
    </cfRule>
    <cfRule type="cellIs" dxfId="1557" priority="2761" operator="equal">
      <formula>"SC"</formula>
    </cfRule>
    <cfRule type="cellIs" dxfId="1556" priority="2760" operator="equal">
      <formula>"A"</formula>
    </cfRule>
    <cfRule type="cellIs" dxfId="1552" priority="2756" operator="equal">
      <formula>"HC"</formula>
    </cfRule>
    <cfRule type="cellIs" dxfId="1551" priority="2755" operator="equal">
      <formula>"SC"</formula>
    </cfRule>
    <cfRule type="cellIs" dxfId="1550" priority="2754" operator="equal">
      <formula>"A OR B"</formula>
    </cfRule>
    <cfRule type="cellIs" dxfId="1548" priority="2752" operator="equal">
      <formula>"C"</formula>
    </cfRule>
    <cfRule type="cellIs" dxfId="1547" priority="2751" operator="equal">
      <formula>"SC"</formula>
    </cfRule>
    <cfRule type="cellIs" dxfId="1546" priority="2750" operator="equal">
      <formula>"A"</formula>
    </cfRule>
    <cfRule type="cellIs" dxfId="1542" priority="2746" operator="equal">
      <formula>"HC"</formula>
    </cfRule>
    <cfRule type="cellIs" dxfId="1541" priority="2745" operator="equal">
      <formula>"SC"</formula>
    </cfRule>
    <cfRule type="cellIs" dxfId="1540" priority="2744" operator="equal">
      <formula>"A OR B"</formula>
    </cfRule>
    <cfRule type="cellIs" dxfId="1538" priority="2831" operator="equal">
      <formula>"HC"</formula>
    </cfRule>
    <cfRule type="cellIs" dxfId="1537" priority="2832" operator="equal">
      <formula>"A OR B"</formula>
    </cfRule>
    <cfRule type="cellIs" dxfId="1535" priority="2620" operator="equal">
      <formula>"SC"</formula>
    </cfRule>
    <cfRule type="cellIs" dxfId="1534" priority="2621" operator="equal">
      <formula>"A"</formula>
    </cfRule>
    <cfRule type="cellIs" dxfId="1533" priority="2622" operator="equal">
      <formula>"C"</formula>
    </cfRule>
    <cfRule type="cellIs" dxfId="1532" priority="2623" operator="equal">
      <formula>"B"</formula>
    </cfRule>
    <cfRule type="cellIs" dxfId="1531" priority="2624" operator="equal">
      <formula>"C4"</formula>
    </cfRule>
    <cfRule type="cellIs" dxfId="1530" priority="2625" operator="equal">
      <formula>"HC"</formula>
    </cfRule>
    <cfRule type="cellIs" dxfId="1529" priority="2626" operator="equal">
      <formula>"C3"</formula>
    </cfRule>
    <cfRule type="cellIs" dxfId="1528" priority="2627" operator="equal">
      <formula>"C2"</formula>
    </cfRule>
    <cfRule type="cellIs" dxfId="1527" priority="2628" operator="equal">
      <formula>"C1"</formula>
    </cfRule>
    <cfRule type="cellIs" dxfId="1525" priority="2630" operator="equal">
      <formula>"A OR B"</formula>
    </cfRule>
    <cfRule type="cellIs" dxfId="1524" priority="2631" operator="equal">
      <formula>"HC"</formula>
    </cfRule>
    <cfRule type="cellIs" dxfId="1521" priority="2635" operator="equal">
      <formula>"C"</formula>
    </cfRule>
    <cfRule type="cellIs" dxfId="1520" priority="2636" operator="equal">
      <formula>"B"</formula>
    </cfRule>
    <cfRule type="cellIs" dxfId="1518" priority="2638" operator="equal">
      <formula>"A OR B"</formula>
    </cfRule>
    <cfRule type="cellIs" dxfId="1517" priority="2639" operator="equal">
      <formula>"HC"</formula>
    </cfRule>
    <cfRule type="cellIs" dxfId="1516" priority="2742" operator="equal">
      <formula>"B"</formula>
    </cfRule>
    <cfRule type="cellIs" dxfId="1515" priority="2741" operator="equal">
      <formula>"C"</formula>
    </cfRule>
    <cfRule type="cellIs" dxfId="1514" priority="2740" operator="equal">
      <formula>"A"</formula>
    </cfRule>
    <cfRule type="cellIs" dxfId="1513" priority="2640" operator="equal">
      <formula>"SC"</formula>
    </cfRule>
    <cfRule type="cellIs" dxfId="1511" priority="2642" operator="equal">
      <formula>"A OR B"</formula>
    </cfRule>
    <cfRule type="cellIs" dxfId="1510" priority="2643" operator="equal">
      <formula>"SC"</formula>
    </cfRule>
    <cfRule type="cellIs" dxfId="1509" priority="2644" operator="equal">
      <formula>"HC"</formula>
    </cfRule>
    <cfRule type="cellIs" dxfId="1506" priority="2739" operator="equal">
      <formula>"B"</formula>
    </cfRule>
    <cfRule type="cellIs" dxfId="1500" priority="2735" operator="equal">
      <formula>"HC"</formula>
    </cfRule>
    <cfRule type="cellIs" dxfId="1499" priority="2734" operator="equal">
      <formula>"A OR B"</formula>
    </cfRule>
    <cfRule type="cellIs" dxfId="1497" priority="2732" operator="equal">
      <formula>"A"</formula>
    </cfRule>
    <cfRule type="cellIs" dxfId="1496" priority="2648" operator="equal">
      <formula>"A"</formula>
    </cfRule>
    <cfRule type="cellIs" dxfId="1492" priority="2728" operator="equal">
      <formula>"HC"</formula>
    </cfRule>
    <cfRule type="cellIs" dxfId="1491" priority="2649" operator="equal">
      <formula>"SC"</formula>
    </cfRule>
    <cfRule type="cellIs" dxfId="1490" priority="2727" operator="equal">
      <formula>"SC"</formula>
    </cfRule>
    <cfRule type="cellIs" dxfId="1488" priority="2726" operator="equal">
      <formula>"A OR B"</formula>
    </cfRule>
    <cfRule type="cellIs" dxfId="1486" priority="2724" operator="equal">
      <formula>"A"</formula>
    </cfRule>
    <cfRule type="cellIs" dxfId="1482" priority="2720" operator="equal">
      <formula>"HC"</formula>
    </cfRule>
    <cfRule type="cellIs" dxfId="1479" priority="2653" operator="equal">
      <formula>"A"</formula>
    </cfRule>
    <cfRule type="cellIs" dxfId="1478" priority="2719" operator="equal">
      <formula>"SC"</formula>
    </cfRule>
    <cfRule type="cellIs" dxfId="1477" priority="2654" operator="equal">
      <formula>"C"</formula>
    </cfRule>
    <cfRule type="cellIs" dxfId="1476" priority="2718" operator="equal">
      <formula>"A OR B"</formula>
    </cfRule>
    <cfRule type="cellIs" dxfId="1474" priority="2655" operator="equal">
      <formula>"B"</formula>
    </cfRule>
    <cfRule type="cellIs" dxfId="1473" priority="2656" operator="equal">
      <formula>"SC"</formula>
    </cfRule>
    <cfRule type="cellIs" dxfId="1471" priority="2657" operator="equal">
      <formula>"C4"</formula>
    </cfRule>
    <cfRule type="cellIs" dxfId="1470" priority="2658" operator="equal">
      <formula>"HC"</formula>
    </cfRule>
    <cfRule type="cellIs" dxfId="1469" priority="2659" operator="equal">
      <formula>"C3"</formula>
    </cfRule>
    <cfRule type="cellIs" dxfId="1468" priority="2660" operator="equal">
      <formula>"C2"</formula>
    </cfRule>
    <cfRule type="cellIs" dxfId="1467" priority="2661" operator="equal">
      <formula>"C1"</formula>
    </cfRule>
    <cfRule type="cellIs" dxfId="1466" priority="2662" operator="equal">
      <formula>"A OR B"</formula>
    </cfRule>
    <cfRule type="cellIs" dxfId="1465" priority="2663" operator="equal">
      <formula>"B"</formula>
    </cfRule>
    <cfRule type="cellIs" dxfId="1464" priority="2665" operator="equal">
      <formula>"B"</formula>
    </cfRule>
    <cfRule type="cellIs" dxfId="1462" priority="2667" operator="equal">
      <formula>"A OR B"</formula>
    </cfRule>
    <cfRule type="cellIs" dxfId="1461" priority="2668" operator="equal">
      <formula>"SC"</formula>
    </cfRule>
    <cfRule type="cellIs" dxfId="1460" priority="2669" operator="equal">
      <formula>"HC"</formula>
    </cfRule>
    <cfRule type="cellIs" dxfId="1456" priority="2673" operator="equal">
      <formula>"A OR B"</formula>
    </cfRule>
    <cfRule type="cellIs" dxfId="1455" priority="2674" operator="equal">
      <formula>"SC"</formula>
    </cfRule>
    <cfRule type="cellIs" dxfId="1454" priority="2675" operator="equal">
      <formula>"HC"</formula>
    </cfRule>
    <cfRule type="cellIs" dxfId="1449" priority="2680" operator="equal">
      <formula>"A OR B"</formula>
    </cfRule>
    <cfRule type="cellIs" dxfId="1448" priority="2681" operator="equal">
      <formula>"SC"</formula>
    </cfRule>
    <cfRule type="cellIs" dxfId="1447" priority="2682" operator="equal">
      <formula>"HC"</formula>
    </cfRule>
    <cfRule type="cellIs" dxfId="1443" priority="2687" operator="equal">
      <formula>"SC"</formula>
    </cfRule>
    <cfRule type="cellIs" dxfId="1442" priority="2688" operator="equal">
      <formula>"C"</formula>
    </cfRule>
    <cfRule type="cellIs" dxfId="1441" priority="2689" operator="equal">
      <formula>"B"</formula>
    </cfRule>
    <cfRule type="cellIs" dxfId="1439" priority="2691" operator="equal">
      <formula>"A OR B"</formula>
    </cfRule>
    <cfRule type="cellIs" dxfId="1438" priority="2692" operator="equal">
      <formula>"SC"</formula>
    </cfRule>
    <cfRule type="cellIs" dxfId="1437" priority="2693" operator="equal">
      <formula>"HC"</formula>
    </cfRule>
    <cfRule type="cellIs" dxfId="1433" priority="2697" operator="equal">
      <formula>"A"</formula>
    </cfRule>
    <cfRule type="cellIs" dxfId="1432" priority="2698" operator="equal">
      <formula>"SC"</formula>
    </cfRule>
    <cfRule type="cellIs" dxfId="1431" priority="2699" operator="equal">
      <formula>"C"</formula>
    </cfRule>
    <cfRule type="cellIs" dxfId="1430" priority="2700" operator="equal">
      <formula>"C4"</formula>
    </cfRule>
    <cfRule type="cellIs" dxfId="1429" priority="2701" operator="equal">
      <formula>"A OR B"</formula>
    </cfRule>
    <cfRule type="cellIs" dxfId="1428" priority="2702" operator="equal">
      <formula>"HC"</formula>
    </cfRule>
    <cfRule type="cellIs" dxfId="1427" priority="2703" operator="equal">
      <formula>"C3"</formula>
    </cfRule>
    <cfRule type="cellIs" dxfId="1426" priority="2704" operator="equal">
      <formula>"C2"</formula>
    </cfRule>
    <cfRule type="cellIs" dxfId="1425" priority="2705" operator="equal">
      <formula>"C1"</formula>
    </cfRule>
    <cfRule type="cellIs" dxfId="1424" priority="2706" operator="equal">
      <formula>"A OR B"</formula>
    </cfRule>
    <cfRule type="cellIs" dxfId="1423" priority="2707" operator="equal">
      <formula>"HC"</formula>
    </cfRule>
  </conditionalFormatting>
  <conditionalFormatting sqref="AL12:AM13">
    <cfRule type="cellIs" dxfId="1422" priority="2192" operator="equal">
      <formula>"A"</formula>
    </cfRule>
    <cfRule type="cellIs" dxfId="1421" priority="2191" operator="equal">
      <formula>"SC"</formula>
    </cfRule>
  </conditionalFormatting>
  <conditionalFormatting sqref="AL13:AM13">
    <cfRule type="cellIs" dxfId="1420" priority="2193" operator="equal">
      <formula>"C"</formula>
    </cfRule>
    <cfRule type="cellIs" dxfId="1419" priority="2195" operator="equal">
      <formula>"A OR B"</formula>
    </cfRule>
    <cfRule type="cellIs" dxfId="1418" priority="2196" operator="equal">
      <formula>"HC"</formula>
    </cfRule>
  </conditionalFormatting>
  <conditionalFormatting sqref="AL18:AM18">
    <cfRule type="cellIs" dxfId="1413" priority="2182" operator="equal">
      <formula>"C"</formula>
    </cfRule>
    <cfRule type="cellIs" dxfId="1412" priority="2181" operator="equal">
      <formula>"B"</formula>
    </cfRule>
  </conditionalFormatting>
  <conditionalFormatting sqref="AL38:AM39">
    <cfRule type="cellIs" dxfId="1411" priority="2114" operator="equal">
      <formula>"C"</formula>
    </cfRule>
    <cfRule type="cellIs" dxfId="1410" priority="2115" operator="equal">
      <formula>"B"</formula>
    </cfRule>
  </conditionalFormatting>
  <conditionalFormatting sqref="AL57:AM57">
    <cfRule type="cellIs" dxfId="1409" priority="2001" operator="equal">
      <formula>"C1"</formula>
    </cfRule>
    <cfRule type="cellIs" dxfId="1408" priority="1999" operator="equal">
      <formula>"C3"</formula>
    </cfRule>
    <cfRule type="cellIs" dxfId="1407" priority="2000" operator="equal">
      <formula>"C2"</formula>
    </cfRule>
    <cfRule type="cellIs" dxfId="1406" priority="1995" operator="equal">
      <formula>"A"</formula>
    </cfRule>
    <cfRule type="cellIs" dxfId="1405" priority="1996" operator="equal">
      <formula>"C4"</formula>
    </cfRule>
    <cfRule type="cellIs" dxfId="1404" priority="1997" operator="equal">
      <formula>"A OR B"</formula>
    </cfRule>
    <cfRule type="cellIs" dxfId="1403" priority="1998" operator="equal">
      <formula>"HC"</formula>
    </cfRule>
    <cfRule type="cellIs" dxfId="1402" priority="2004" operator="equal">
      <formula>"SC"</formula>
    </cfRule>
    <cfRule type="cellIs" dxfId="1401" priority="2005" operator="equal">
      <formula>"HC"</formula>
    </cfRule>
  </conditionalFormatting>
  <conditionalFormatting sqref="AL70:AM70 AG70:AL73 AL72:AM73">
    <cfRule type="cellIs" dxfId="1400" priority="6064" operator="equal">
      <formula>"B"</formula>
    </cfRule>
  </conditionalFormatting>
  <conditionalFormatting sqref="AL70:AM70 AK68:AL71">
    <cfRule type="cellIs" dxfId="1399" priority="1495" operator="equal">
      <formula>"B"</formula>
    </cfRule>
  </conditionalFormatting>
  <conditionalFormatting sqref="AL70:AM70 AK70:AL71">
    <cfRule type="cellIs" dxfId="1398" priority="4200" operator="equal">
      <formula>"B"</formula>
    </cfRule>
    <cfRule type="cellIs" dxfId="1395" priority="8175" operator="equal">
      <formula>"A"</formula>
    </cfRule>
    <cfRule type="cellIs" dxfId="1394" priority="8176" operator="equal">
      <formula>"SC"</formula>
    </cfRule>
    <cfRule type="cellIs" dxfId="1393" priority="8178" operator="equal">
      <formula>"C"</formula>
    </cfRule>
    <cfRule type="cellIs" dxfId="1392" priority="8180" operator="equal">
      <formula>"C4"</formula>
    </cfRule>
    <cfRule type="cellIs" dxfId="1391" priority="8163" operator="equal">
      <formula>"A"</formula>
    </cfRule>
    <cfRule type="cellIs" dxfId="1388" priority="8159" operator="equal">
      <formula>"HC"</formula>
    </cfRule>
    <cfRule type="cellIs" dxfId="1387" priority="8158" operator="equal">
      <formula>"SC"</formula>
    </cfRule>
    <cfRule type="cellIs" dxfId="1386" priority="8157" operator="equal">
      <formula>"A OR B"</formula>
    </cfRule>
    <cfRule type="cellIs" dxfId="1384" priority="8155" operator="equal">
      <formula>"B"</formula>
    </cfRule>
    <cfRule type="cellIs" dxfId="1380" priority="8151" operator="equal">
      <formula>"HC"</formula>
    </cfRule>
    <cfRule type="cellIs" dxfId="1379" priority="8150" operator="equal">
      <formula>"SC"</formula>
    </cfRule>
    <cfRule type="cellIs" dxfId="1377" priority="8141" operator="equal">
      <formula>"C2"</formula>
    </cfRule>
    <cfRule type="cellIs" dxfId="1376" priority="8141" operator="equal">
      <formula>"C3"</formula>
    </cfRule>
    <cfRule type="cellIs" dxfId="1375" priority="8141" operator="equal">
      <formula>"B"</formula>
    </cfRule>
    <cfRule type="cellIs" dxfId="1374" priority="8141" operator="equal">
      <formula>"C1"</formula>
    </cfRule>
    <cfRule type="cellIs" dxfId="1373" priority="4145" operator="equal">
      <formula>"A"</formula>
    </cfRule>
    <cfRule type="cellIs" dxfId="1372" priority="4148" operator="equal">
      <formula>"SC"</formula>
    </cfRule>
    <cfRule type="cellIs" dxfId="1371" priority="4154" operator="equal">
      <formula>"C"</formula>
    </cfRule>
    <cfRule type="cellIs" dxfId="1370" priority="4155" operator="equal">
      <formula>"B"</formula>
    </cfRule>
    <cfRule type="cellIs" dxfId="1368" priority="8181" operator="equal">
      <formula>"A OR B"</formula>
    </cfRule>
    <cfRule type="cellIs" dxfId="1366" priority="4159" operator="equal">
      <formula>"A OR B"</formula>
    </cfRule>
    <cfRule type="cellIs" dxfId="1365" priority="4160" operator="equal">
      <formula>"SC"</formula>
    </cfRule>
    <cfRule type="cellIs" dxfId="1364" priority="4161" operator="equal">
      <formula>"HC"</formula>
    </cfRule>
    <cfRule type="cellIs" dxfId="1360" priority="8170" operator="equal">
      <formula>"SC"</formula>
    </cfRule>
    <cfRule type="cellIs" dxfId="1359" priority="8171" operator="equal">
      <formula>"HC"</formula>
    </cfRule>
    <cfRule type="cellIs" dxfId="1358" priority="8182" operator="equal">
      <formula>"HC"</formula>
    </cfRule>
    <cfRule type="cellIs" dxfId="1357" priority="8164" operator="equal">
      <formula>"SC"</formula>
    </cfRule>
    <cfRule type="cellIs" dxfId="1356" priority="8166" operator="equal">
      <formula>"C"</formula>
    </cfRule>
    <cfRule type="cellIs" dxfId="1355" priority="8167" operator="equal">
      <formula>"B"</formula>
    </cfRule>
    <cfRule type="cellIs" dxfId="1353" priority="8183" operator="equal">
      <formula>"C3"</formula>
    </cfRule>
    <cfRule type="cellIs" dxfId="1352" priority="8184" operator="equal">
      <formula>"C2"</formula>
    </cfRule>
    <cfRule type="cellIs" dxfId="1351" priority="8185" operator="equal">
      <formula>"C1"</formula>
    </cfRule>
    <cfRule type="cellIs" dxfId="1348" priority="3618" operator="equal">
      <formula>"SC"</formula>
    </cfRule>
    <cfRule type="cellIs" dxfId="1347" priority="3619" operator="equal">
      <formula>"HC"</formula>
    </cfRule>
    <cfRule type="cellIs" dxfId="1343" priority="8169" operator="equal">
      <formula>"A OR B"</formula>
    </cfRule>
    <cfRule type="cellIs" dxfId="1342" priority="4135" operator="equal">
      <formula>"B"</formula>
    </cfRule>
    <cfRule type="cellIs" dxfId="1340" priority="4139" operator="equal">
      <formula>"A OR B"</formula>
    </cfRule>
    <cfRule type="cellIs" dxfId="1339" priority="4140" operator="equal">
      <formula>"SC"</formula>
    </cfRule>
    <cfRule type="cellIs" dxfId="1338" priority="4141" operator="equal">
      <formula>"HC"</formula>
    </cfRule>
  </conditionalFormatting>
  <conditionalFormatting sqref="AL70:AM70">
    <cfRule type="cellIs" dxfId="1334" priority="619" operator="equal">
      <formula>"B"</formula>
    </cfRule>
    <cfRule type="cellIs" dxfId="1333" priority="596" operator="equal">
      <formula>"HC"</formula>
    </cfRule>
    <cfRule type="cellIs" dxfId="1327" priority="595" operator="equal">
      <formula>"SC"</formula>
    </cfRule>
    <cfRule type="cellIs" dxfId="1326" priority="617" operator="equal">
      <formula>"C2"</formula>
    </cfRule>
    <cfRule type="cellIs" dxfId="1325" priority="616" operator="equal">
      <formula>"C3"</formula>
    </cfRule>
    <cfRule type="cellIs" dxfId="1324" priority="615" operator="equal">
      <formula>"HC"</formula>
    </cfRule>
    <cfRule type="cellIs" dxfId="1323" priority="614" operator="equal">
      <formula>"A OR B"</formula>
    </cfRule>
    <cfRule type="cellIs" dxfId="1322" priority="613" operator="equal">
      <formula>"C4"</formula>
    </cfRule>
    <cfRule type="cellIs" dxfId="1321" priority="612" operator="equal">
      <formula>"C"</formula>
    </cfRule>
    <cfRule type="cellIs" dxfId="1320" priority="611" operator="equal">
      <formula>"SC"</formula>
    </cfRule>
    <cfRule type="cellIs" dxfId="1319" priority="610" operator="equal">
      <formula>"A"</formula>
    </cfRule>
    <cfRule type="cellIs" dxfId="1317" priority="618" operator="equal">
      <formula>"C1"</formula>
    </cfRule>
    <cfRule type="cellIs" dxfId="1315" priority="606" operator="equal">
      <formula>"HC"</formula>
    </cfRule>
    <cfRule type="cellIs" dxfId="1314" priority="605" operator="equal">
      <formula>"SC"</formula>
    </cfRule>
    <cfRule type="cellIs" dxfId="1313" priority="604" operator="equal">
      <formula>"A OR B"</formula>
    </cfRule>
    <cfRule type="cellIs" dxfId="1311" priority="602" operator="equal">
      <formula>"C"</formula>
    </cfRule>
    <cfRule type="cellIs" dxfId="1310" priority="601" operator="equal">
      <formula>"SC"</formula>
    </cfRule>
    <cfRule type="cellIs" dxfId="1309" priority="600" operator="equal">
      <formula>"A"</formula>
    </cfRule>
    <cfRule type="cellIs" dxfId="1307" priority="594" operator="equal">
      <formula>"A OR B"</formula>
    </cfRule>
    <cfRule type="cellIs" dxfId="1305" priority="624" operator="equal">
      <formula>"HC"</formula>
    </cfRule>
    <cfRule type="cellIs" dxfId="1304" priority="623" operator="equal">
      <formula>"SC"</formula>
    </cfRule>
    <cfRule type="cellIs" dxfId="1303" priority="622" operator="equal">
      <formula>"A OR B"</formula>
    </cfRule>
  </conditionalFormatting>
  <conditionalFormatting sqref="AL70:AM71">
    <cfRule type="cellIs" dxfId="1300" priority="1318" operator="equal">
      <formula>"C3"</formula>
    </cfRule>
    <cfRule type="cellIs" dxfId="1299" priority="1320" operator="equal">
      <formula>"C1"</formula>
    </cfRule>
    <cfRule type="cellIs" dxfId="1298" priority="1317" operator="equal">
      <formula>"HC"</formula>
    </cfRule>
    <cfRule type="cellIs" dxfId="1297" priority="1315" operator="equal">
      <formula>"C4"</formula>
    </cfRule>
    <cfRule type="cellIs" dxfId="1296" priority="1314" operator="equal">
      <formula>"C"</formula>
    </cfRule>
    <cfRule type="cellIs" dxfId="1295" priority="1313" operator="equal">
      <formula>"SC"</formula>
    </cfRule>
    <cfRule type="cellIs" dxfId="1294" priority="1319" operator="equal">
      <formula>"C2"</formula>
    </cfRule>
    <cfRule type="cellIs" dxfId="1293" priority="1312" operator="equal">
      <formula>"A"</formula>
    </cfRule>
  </conditionalFormatting>
  <conditionalFormatting sqref="AL72:AM73">
    <cfRule type="cellIs" dxfId="1292" priority="1121" operator="equal">
      <formula>"B"</formula>
    </cfRule>
    <cfRule type="cellIs" dxfId="1290" priority="1123" operator="equal">
      <formula>"A OR B"</formula>
    </cfRule>
    <cfRule type="cellIs" dxfId="1289" priority="1124" operator="equal">
      <formula>"SC"</formula>
    </cfRule>
    <cfRule type="cellIs" dxfId="1288" priority="1125" operator="equal">
      <formula>"HC"</formula>
    </cfRule>
    <cfRule type="cellIs" dxfId="1285" priority="1129" operator="equal">
      <formula>"A"</formula>
    </cfRule>
    <cfRule type="cellIs" dxfId="1284" priority="1130" operator="equal">
      <formula>"SC"</formula>
    </cfRule>
    <cfRule type="cellIs" dxfId="1283" priority="1131" operator="equal">
      <formula>"C"</formula>
    </cfRule>
    <cfRule type="cellIs" dxfId="1282" priority="1132" operator="equal">
      <formula>"C4"</formula>
    </cfRule>
    <cfRule type="cellIs" dxfId="1281" priority="1133" operator="equal">
      <formula>"A OR B"</formula>
    </cfRule>
    <cfRule type="cellIs" dxfId="1280" priority="1134" operator="equal">
      <formula>"HC"</formula>
    </cfRule>
    <cfRule type="cellIs" dxfId="1279" priority="1135" operator="equal">
      <formula>"C3"</formula>
    </cfRule>
    <cfRule type="cellIs" dxfId="1278" priority="1136" operator="equal">
      <formula>"C2"</formula>
    </cfRule>
    <cfRule type="cellIs" dxfId="1277" priority="1137" operator="equal">
      <formula>"C1"</formula>
    </cfRule>
    <cfRule type="cellIs" dxfId="1276" priority="1138" operator="equal">
      <formula>"B"</formula>
    </cfRule>
    <cfRule type="cellIs" dxfId="1274" priority="1153" operator="equal">
      <formula>"A OR B"</formula>
    </cfRule>
    <cfRule type="cellIs" dxfId="1273" priority="1154" operator="equal">
      <formula>"SC"</formula>
    </cfRule>
    <cfRule type="cellIs" dxfId="1272" priority="1155" operator="equal">
      <formula>"HC"</formula>
    </cfRule>
    <cfRule type="cellIs" dxfId="1268" priority="1159" operator="equal">
      <formula>"C1"</formula>
    </cfRule>
    <cfRule type="cellIs" dxfId="1266" priority="1161" operator="equal">
      <formula>"SC"</formula>
    </cfRule>
    <cfRule type="cellIs" dxfId="1265" priority="1162" operator="equal">
      <formula>"HC"</formula>
    </cfRule>
    <cfRule type="cellIs" dxfId="1261" priority="1166" operator="equal">
      <formula>"B"</formula>
    </cfRule>
    <cfRule type="cellIs" dxfId="1259" priority="1168" operator="equal">
      <formula>"A OR B"</formula>
    </cfRule>
    <cfRule type="cellIs" dxfId="1258" priority="1169" operator="equal">
      <formula>"SC"</formula>
    </cfRule>
    <cfRule type="cellIs" dxfId="1257" priority="1170" operator="equal">
      <formula>"HC"</formula>
    </cfRule>
    <cfRule type="cellIs" dxfId="1253" priority="1174" operator="equal">
      <formula>"A"</formula>
    </cfRule>
    <cfRule type="cellIs" dxfId="1252" priority="1175" operator="equal">
      <formula>"SC"</formula>
    </cfRule>
    <cfRule type="cellIs" dxfId="1251" priority="1176" operator="equal">
      <formula>"C"</formula>
    </cfRule>
    <cfRule type="cellIs" dxfId="1250" priority="1177" operator="equal">
      <formula>"B"</formula>
    </cfRule>
    <cfRule type="cellIs" dxfId="1248" priority="1179" operator="equal">
      <formula>"A OR B"</formula>
    </cfRule>
    <cfRule type="cellIs" dxfId="1247" priority="1180" operator="equal">
      <formula>"SC"</formula>
    </cfRule>
    <cfRule type="cellIs" dxfId="1246" priority="1181" operator="equal">
      <formula>"HC"</formula>
    </cfRule>
    <cfRule type="cellIs" dxfId="1242" priority="1185" operator="equal">
      <formula>"A"</formula>
    </cfRule>
    <cfRule type="cellIs" dxfId="1241" priority="1186" operator="equal">
      <formula>"SC"</formula>
    </cfRule>
    <cfRule type="cellIs" dxfId="1240" priority="1187" operator="equal">
      <formula>"C"</formula>
    </cfRule>
    <cfRule type="cellIs" dxfId="1239" priority="1188" operator="equal">
      <formula>"C4"</formula>
    </cfRule>
    <cfRule type="cellIs" dxfId="1238" priority="1189" operator="equal">
      <formula>"A OR B"</formula>
    </cfRule>
    <cfRule type="cellIs" dxfId="1237" priority="1190" operator="equal">
      <formula>"HC"</formula>
    </cfRule>
    <cfRule type="cellIs" dxfId="1236" priority="1191" operator="equal">
      <formula>"C3"</formula>
    </cfRule>
    <cfRule type="cellIs" dxfId="1235" priority="1192" operator="equal">
      <formula>"C2"</formula>
    </cfRule>
    <cfRule type="cellIs" dxfId="1234" priority="1193" operator="equal">
      <formula>"C1"</formula>
    </cfRule>
    <cfRule type="cellIs" dxfId="1232" priority="918" operator="equal">
      <formula>"A"</formula>
    </cfRule>
    <cfRule type="cellIs" dxfId="1231" priority="919" operator="equal">
      <formula>"SC"</formula>
    </cfRule>
    <cfRule type="cellIs" dxfId="1230" priority="920" operator="equal">
      <formula>"C4"</formula>
    </cfRule>
    <cfRule type="cellIs" dxfId="1229" priority="921" operator="equal">
      <formula>"HC"</formula>
    </cfRule>
    <cfRule type="cellIs" dxfId="1228" priority="922" operator="equal">
      <formula>"C3"</formula>
    </cfRule>
    <cfRule type="cellIs" dxfId="1227" priority="923" operator="equal">
      <formula>"C2"</formula>
    </cfRule>
    <cfRule type="cellIs" dxfId="1226" priority="924" operator="equal">
      <formula>"C1"</formula>
    </cfRule>
    <cfRule type="cellIs" dxfId="1225" priority="925" operator="equal">
      <formula>"B"</formula>
    </cfRule>
    <cfRule type="cellIs" dxfId="1224" priority="926" operator="equal">
      <formula>"C"</formula>
    </cfRule>
    <cfRule type="cellIs" dxfId="1222" priority="929" operator="equal">
      <formula>"A OR B"</formula>
    </cfRule>
    <cfRule type="cellIs" dxfId="1221" priority="930" operator="equal">
      <formula>"SC"</formula>
    </cfRule>
    <cfRule type="cellIs" dxfId="1220" priority="931" operator="equal">
      <formula>"HC"</formula>
    </cfRule>
    <cfRule type="cellIs" dxfId="1216" priority="935" operator="equal">
      <formula>"A"</formula>
    </cfRule>
    <cfRule type="cellIs" dxfId="1215" priority="936" operator="equal">
      <formula>"SC"</formula>
    </cfRule>
    <cfRule type="cellIs" dxfId="1214" priority="937" operator="equal">
      <formula>"C"</formula>
    </cfRule>
    <cfRule type="cellIs" dxfId="1212" priority="939" operator="equal">
      <formula>"A OR B"</formula>
    </cfRule>
    <cfRule type="cellIs" dxfId="1211" priority="940" operator="equal">
      <formula>"SC"</formula>
    </cfRule>
    <cfRule type="cellIs" dxfId="1210" priority="941" operator="equal">
      <formula>"HC"</formula>
    </cfRule>
    <cfRule type="cellIs" dxfId="1206" priority="945" operator="equal">
      <formula>"A"</formula>
    </cfRule>
    <cfRule type="cellIs" dxfId="1205" priority="946" operator="equal">
      <formula>"SC"</formula>
    </cfRule>
    <cfRule type="cellIs" dxfId="1204" priority="947" operator="equal">
      <formula>"C"</formula>
    </cfRule>
    <cfRule type="cellIs" dxfId="1203" priority="948" operator="equal">
      <formula>"C4"</formula>
    </cfRule>
    <cfRule type="cellIs" dxfId="1202" priority="949" operator="equal">
      <formula>"A OR B"</formula>
    </cfRule>
    <cfRule type="cellIs" dxfId="1201" priority="950" operator="equal">
      <formula>"HC"</formula>
    </cfRule>
    <cfRule type="cellIs" dxfId="1200" priority="951" operator="equal">
      <formula>"C3"</formula>
    </cfRule>
    <cfRule type="cellIs" dxfId="1199" priority="952" operator="equal">
      <formula>"C2"</formula>
    </cfRule>
    <cfRule type="cellIs" dxfId="1198" priority="953" operator="equal">
      <formula>"C1"</formula>
    </cfRule>
    <cfRule type="cellIs" dxfId="1197" priority="954" operator="equal">
      <formula>"B"</formula>
    </cfRule>
    <cfRule type="cellIs" dxfId="1195" priority="957" operator="equal">
      <formula>"A OR B"</formula>
    </cfRule>
    <cfRule type="cellIs" dxfId="1194" priority="958" operator="equal">
      <formula>"SC"</formula>
    </cfRule>
    <cfRule type="cellIs" dxfId="1193" priority="959" operator="equal">
      <formula>"HC"</formula>
    </cfRule>
    <cfRule type="cellIs" dxfId="1188" priority="1105" operator="equal">
      <formula>"SC"</formula>
    </cfRule>
    <cfRule type="cellIs" dxfId="1187" priority="1106" operator="equal">
      <formula>"HC"</formula>
    </cfRule>
    <cfRule type="cellIs" dxfId="1183" priority="1110" operator="equal">
      <formula>"B"</formula>
    </cfRule>
    <cfRule type="cellIs" dxfId="1181" priority="1112" operator="equal">
      <formula>"A OR B"</formula>
    </cfRule>
    <cfRule type="cellIs" dxfId="1180" priority="1113" operator="equal">
      <formula>"SC"</formula>
    </cfRule>
    <cfRule type="cellIs" dxfId="1179" priority="1114" operator="equal">
      <formula>"HC"</formula>
    </cfRule>
    <cfRule type="cellIs" dxfId="1175" priority="1118" operator="equal">
      <formula>"A"</formula>
    </cfRule>
    <cfRule type="cellIs" dxfId="1174" priority="1119" operator="equal">
      <formula>"SC"</formula>
    </cfRule>
    <cfRule type="cellIs" dxfId="1173" priority="1120" operator="equal">
      <formula>"C"</formula>
    </cfRule>
  </conditionalFormatting>
  <conditionalFormatting sqref="AL73:AM73">
    <cfRule type="cellIs" dxfId="1172" priority="1088" operator="equal">
      <formula>"HC"</formula>
    </cfRule>
    <cfRule type="cellIs" dxfId="1171" priority="993" operator="equal">
      <formula>"C3"</formula>
    </cfRule>
    <cfRule type="cellIs" dxfId="1169" priority="992" operator="equal">
      <formula>"HC"</formula>
    </cfRule>
    <cfRule type="cellIs" dxfId="1167" priority="991" operator="equal">
      <formula>"A OR B"</formula>
    </cfRule>
    <cfRule type="cellIs" dxfId="1166" priority="990" operator="equal">
      <formula>"C4"</formula>
    </cfRule>
    <cfRule type="cellIs" dxfId="1165" priority="984" operator="equal">
      <formula>"HC"</formula>
    </cfRule>
    <cfRule type="cellIs" dxfId="1164" priority="983" operator="equal">
      <formula>"SC"</formula>
    </cfRule>
    <cfRule type="cellIs" dxfId="1163" priority="982" operator="equal">
      <formula>"A OR B"</formula>
    </cfRule>
    <cfRule type="cellIs" dxfId="1161" priority="980" operator="equal">
      <formula>"SC"</formula>
    </cfRule>
    <cfRule type="cellIs" dxfId="1160" priority="979" operator="equal">
      <formula>"A"</formula>
    </cfRule>
    <cfRule type="cellIs" dxfId="1156" priority="975" operator="equal">
      <formula>"HC"</formula>
    </cfRule>
    <cfRule type="cellIs" dxfId="1155" priority="974" operator="equal">
      <formula>"SC"</formula>
    </cfRule>
    <cfRule type="cellIs" dxfId="1154" priority="973" operator="equal">
      <formula>"A OR B"</formula>
    </cfRule>
    <cfRule type="cellIs" dxfId="1152" priority="971" operator="equal">
      <formula>"B"</formula>
    </cfRule>
    <cfRule type="cellIs" dxfId="1151" priority="970" operator="equal">
      <formula>"C1"</formula>
    </cfRule>
    <cfRule type="cellIs" dxfId="1150" priority="969" operator="equal">
      <formula>"C2"</formula>
    </cfRule>
    <cfRule type="cellIs" dxfId="1149" priority="967" operator="equal">
      <formula>"HC"</formula>
    </cfRule>
    <cfRule type="cellIs" dxfId="1148" priority="966" operator="equal">
      <formula>"C4"</formula>
    </cfRule>
    <cfRule type="cellIs" dxfId="1147" priority="965" operator="equal">
      <formula>"C"</formula>
    </cfRule>
    <cfRule type="cellIs" dxfId="1146" priority="964" operator="equal">
      <formula>"A"</formula>
    </cfRule>
    <cfRule type="cellIs" dxfId="1145" priority="963" operator="equal">
      <formula>"SC"</formula>
    </cfRule>
    <cfRule type="cellIs" dxfId="1141" priority="1148" operator="equal">
      <formula>"HC"</formula>
    </cfRule>
    <cfRule type="cellIs" dxfId="1140" priority="1147" operator="equal">
      <formula>"A OR B"</formula>
    </cfRule>
    <cfRule type="cellIs" dxfId="1135" priority="1142" operator="equal">
      <formula>"A OR B"</formula>
    </cfRule>
    <cfRule type="cellIs" dxfId="1134" priority="1141" operator="equal">
      <formula>"HC"</formula>
    </cfRule>
    <cfRule type="cellIs" dxfId="1131" priority="1102" operator="equal">
      <formula>"HC"</formula>
    </cfRule>
    <cfRule type="cellIs" dxfId="1129" priority="1100" operator="equal">
      <formula>"A"</formula>
    </cfRule>
    <cfRule type="cellIs" dxfId="1128" priority="1099" operator="equal">
      <formula>"B"</formula>
    </cfRule>
    <cfRule type="cellIs" dxfId="1125" priority="3241" operator="equal">
      <formula>"A"</formula>
    </cfRule>
    <cfRule type="cellIs" dxfId="1121" priority="3237" operator="equal">
      <formula>"SC"</formula>
    </cfRule>
    <cfRule type="cellIs" dxfId="1120" priority="3236" operator="equal">
      <formula>"A"</formula>
    </cfRule>
    <cfRule type="cellIs" dxfId="1117" priority="968" operator="equal">
      <formula>"C3"</formula>
    </cfRule>
    <cfRule type="cellIs" dxfId="1115" priority="3232" operator="equal">
      <formula>"HC"</formula>
    </cfRule>
    <cfRule type="cellIs" dxfId="1114" priority="3231" operator="equal">
      <formula>"SC"</formula>
    </cfRule>
    <cfRule type="cellIs" dxfId="1113" priority="3230" operator="equal">
      <formula>"A OR B"</formula>
    </cfRule>
    <cfRule type="cellIs" dxfId="1111" priority="3228" operator="equal">
      <formula>"SC"</formula>
    </cfRule>
    <cfRule type="cellIs" dxfId="1110" priority="3227" operator="equal">
      <formula>"HC"</formula>
    </cfRule>
    <cfRule type="cellIs" dxfId="1109" priority="3226" operator="equal">
      <formula>"A OR B"</formula>
    </cfRule>
    <cfRule type="cellIs" dxfId="1107" priority="3224" operator="equal">
      <formula>"B"</formula>
    </cfRule>
    <cfRule type="cellIs" dxfId="1106" priority="3223" operator="equal">
      <formula>"C"</formula>
    </cfRule>
    <cfRule type="cellIs" dxfId="1101" priority="1095" operator="equal">
      <formula>"HC"</formula>
    </cfRule>
    <cfRule type="cellIs" dxfId="1100" priority="1094" operator="equal">
      <formula>"A OR B"</formula>
    </cfRule>
    <cfRule type="cellIs" dxfId="1098" priority="1092" operator="equal">
      <formula>"A"</formula>
    </cfRule>
    <cfRule type="cellIs" dxfId="1093" priority="1087" operator="equal">
      <formula>"SC"</formula>
    </cfRule>
    <cfRule type="cellIs" dxfId="1092" priority="1086" operator="equal">
      <formula>"A OR B"</formula>
    </cfRule>
    <cfRule type="cellIs" dxfId="1090" priority="1084" operator="equal">
      <formula>"A"</formula>
    </cfRule>
    <cfRule type="cellIs" dxfId="1086" priority="1080" operator="equal">
      <formula>"HC"</formula>
    </cfRule>
    <cfRule type="cellIs" dxfId="1085" priority="1079" operator="equal">
      <formula>"SC"</formula>
    </cfRule>
    <cfRule type="cellIs" dxfId="1084" priority="1078" operator="equal">
      <formula>"A OR B"</formula>
    </cfRule>
    <cfRule type="cellIs" dxfId="1079" priority="1073" operator="equal">
      <formula>"HC"</formula>
    </cfRule>
    <cfRule type="cellIs" dxfId="1078" priority="3219" operator="equal">
      <formula>"HC"</formula>
    </cfRule>
    <cfRule type="cellIs" dxfId="1077" priority="1072" operator="equal">
      <formula>"A OR B"</formula>
    </cfRule>
    <cfRule type="cellIs" dxfId="1072" priority="3218" operator="equal">
      <formula>"A OR B"</formula>
    </cfRule>
    <cfRule type="cellIs" dxfId="1070" priority="3216" operator="equal">
      <formula>"C1"</formula>
    </cfRule>
    <cfRule type="cellIs" dxfId="1069" priority="3215" operator="equal">
      <formula>"C2"</formula>
    </cfRule>
    <cfRule type="cellIs" dxfId="1068" priority="3214" operator="equal">
      <formula>"C3"</formula>
    </cfRule>
    <cfRule type="cellIs" dxfId="1067" priority="3213" operator="equal">
      <formula>"HC"</formula>
    </cfRule>
    <cfRule type="cellIs" dxfId="1066" priority="1067" operator="equal">
      <formula>"HC"</formula>
    </cfRule>
    <cfRule type="cellIs" dxfId="1065" priority="1066" operator="equal">
      <formula>"A OR B"</formula>
    </cfRule>
    <cfRule type="cellIs" dxfId="1064" priority="1065" operator="equal">
      <formula>"C1"</formula>
    </cfRule>
    <cfRule type="cellIs" dxfId="1063" priority="1064" operator="equal">
      <formula>"C2"</formula>
    </cfRule>
    <cfRule type="cellIs" dxfId="1062" priority="1063" operator="equal">
      <formula>"C3"</formula>
    </cfRule>
    <cfRule type="cellIs" dxfId="1061" priority="1062" operator="equal">
      <formula>"HC"</formula>
    </cfRule>
    <cfRule type="cellIs" dxfId="1060" priority="1061" operator="equal">
      <formula>"A OR B"</formula>
    </cfRule>
    <cfRule type="cellIs" dxfId="1059" priority="1060" operator="equal">
      <formula>"C4"</formula>
    </cfRule>
    <cfRule type="cellIs" dxfId="1058" priority="1059" operator="equal">
      <formula>"C"</formula>
    </cfRule>
    <cfRule type="cellIs" dxfId="1057" priority="1058" operator="equal">
      <formula>"SC"</formula>
    </cfRule>
    <cfRule type="cellIs" dxfId="1056" priority="1057" operator="equal">
      <formula>"A"</formula>
    </cfRule>
    <cfRule type="cellIs" dxfId="1052" priority="1053" operator="equal">
      <formula>"HC"</formula>
    </cfRule>
    <cfRule type="cellIs" dxfId="1051" priority="1052" operator="equal">
      <formula>"SC"</formula>
    </cfRule>
    <cfRule type="cellIs" dxfId="1050" priority="1051" operator="equal">
      <formula>"A OR B"</formula>
    </cfRule>
    <cfRule type="cellIs" dxfId="1048" priority="1049" operator="equal">
      <formula>"B"</formula>
    </cfRule>
    <cfRule type="cellIs" dxfId="1047" priority="1048" operator="equal">
      <formula>"C"</formula>
    </cfRule>
    <cfRule type="cellIs" dxfId="1046" priority="1047" operator="equal">
      <formula>"SC"</formula>
    </cfRule>
    <cfRule type="cellIs" dxfId="1045" priority="1046" operator="equal">
      <formula>"A"</formula>
    </cfRule>
    <cfRule type="cellIs" dxfId="1041" priority="1042" operator="equal">
      <formula>"HC"</formula>
    </cfRule>
    <cfRule type="cellIs" dxfId="1040" priority="1041" operator="equal">
      <formula>"SC"</formula>
    </cfRule>
    <cfRule type="cellIs" dxfId="1039" priority="1040" operator="equal">
      <formula>"A OR B"</formula>
    </cfRule>
    <cfRule type="cellIs" dxfId="1034" priority="1035" operator="equal">
      <formula>"HC"</formula>
    </cfRule>
    <cfRule type="cellIs" dxfId="1033" priority="1034" operator="equal">
      <formula>"SC"</formula>
    </cfRule>
    <cfRule type="cellIs" dxfId="1032" priority="1033" operator="equal">
      <formula>"A OR B"</formula>
    </cfRule>
    <cfRule type="cellIs" dxfId="1031" priority="1032" operator="equal">
      <formula>"B"</formula>
    </cfRule>
    <cfRule type="cellIs" dxfId="1030" priority="1031" operator="equal">
      <formula>"A OR B"</formula>
    </cfRule>
    <cfRule type="cellIs" dxfId="1029" priority="1030" operator="equal">
      <formula>"B"</formula>
    </cfRule>
    <cfRule type="cellIs" dxfId="1028" priority="1029" operator="equal">
      <formula>"C"</formula>
    </cfRule>
    <cfRule type="cellIs" dxfId="1024" priority="1025" operator="equal">
      <formula>"SC"</formula>
    </cfRule>
    <cfRule type="cellIs" dxfId="1023" priority="1024" operator="equal">
      <formula>"A"</formula>
    </cfRule>
    <cfRule type="cellIs" dxfId="1019" priority="1020" operator="equal">
      <formula>"HC"</formula>
    </cfRule>
    <cfRule type="cellIs" dxfId="1018" priority="1019" operator="equal">
      <formula>"SC"</formula>
    </cfRule>
    <cfRule type="cellIs" dxfId="1017" priority="1018" operator="equal">
      <formula>"A OR B"</formula>
    </cfRule>
    <cfRule type="cellIs" dxfId="1016" priority="3212" operator="equal">
      <formula>"C4"</formula>
    </cfRule>
    <cfRule type="cellIs" dxfId="1015" priority="1016" operator="equal">
      <formula>"SC"</formula>
    </cfRule>
    <cfRule type="cellIs" dxfId="1014" priority="1015" operator="equal">
      <formula>"HC"</formula>
    </cfRule>
    <cfRule type="cellIs" dxfId="1013" priority="1014" operator="equal">
      <formula>"A OR B"</formula>
    </cfRule>
    <cfRule type="cellIs" dxfId="1011" priority="1012" operator="equal">
      <formula>"B"</formula>
    </cfRule>
    <cfRule type="cellIs" dxfId="1010" priority="1011" operator="equal">
      <formula>"C"</formula>
    </cfRule>
    <cfRule type="cellIs" dxfId="1006" priority="1007" operator="equal">
      <formula>"HC"</formula>
    </cfRule>
    <cfRule type="cellIs" dxfId="1005" priority="1006" operator="equal">
      <formula>"A OR B"</formula>
    </cfRule>
    <cfRule type="cellIs" dxfId="1003" priority="999" operator="equal">
      <formula>"B"</formula>
    </cfRule>
    <cfRule type="cellIs" dxfId="1002" priority="998" operator="equal">
      <formula>"C"</formula>
    </cfRule>
    <cfRule type="cellIs" dxfId="1001" priority="995" operator="equal">
      <formula>"C1"</formula>
    </cfRule>
    <cfRule type="cellIs" dxfId="1000" priority="994" operator="equal">
      <formula>"C2"</formula>
    </cfRule>
    <cfRule type="cellIs" dxfId="999" priority="3209" operator="equal">
      <formula>"C"</formula>
    </cfRule>
    <cfRule type="cellIs" dxfId="998" priority="3208" operator="equal">
      <formula>"A"</formula>
    </cfRule>
    <cfRule type="cellIs" dxfId="997" priority="3207" operator="equal">
      <formula>"SC"</formula>
    </cfRule>
    <cfRule type="cellIs" dxfId="996" priority="989" operator="equal">
      <formula>"SC"</formula>
    </cfRule>
    <cfRule type="cellIs" dxfId="995" priority="988" operator="equal">
      <formula>"A"</formula>
    </cfRule>
  </conditionalFormatting>
  <conditionalFormatting sqref="AM2">
    <cfRule type="cellIs" dxfId="993" priority="3176" operator="equal">
      <formula>"B"</formula>
    </cfRule>
    <cfRule type="cellIs" dxfId="992" priority="3182" operator="equal">
      <formula>"C2"</formula>
    </cfRule>
    <cfRule type="cellIs" dxfId="991" priority="3177" operator="equal">
      <formula>"A"</formula>
    </cfRule>
    <cfRule type="cellIs" dxfId="990" priority="3178" operator="equal">
      <formula>"B"</formula>
    </cfRule>
    <cfRule type="cellIs" dxfId="989" priority="3183" operator="equal">
      <formula>"C1"</formula>
    </cfRule>
    <cfRule type="cellIs" dxfId="988" priority="3175" operator="equal">
      <formula>"SC"</formula>
    </cfRule>
    <cfRule type="cellIs" dxfId="987" priority="3181" operator="equal">
      <formula>"C3"</formula>
    </cfRule>
    <cfRule type="cellIs" dxfId="986" priority="3180" operator="equal">
      <formula>"A OR B"</formula>
    </cfRule>
    <cfRule type="cellIs" dxfId="985" priority="3179" operator="equal">
      <formula>"C4"</formula>
    </cfRule>
  </conditionalFormatting>
  <conditionalFormatting sqref="AM2:AM21">
    <cfRule type="cellIs" dxfId="984" priority="3187" operator="equal">
      <formula>"C"</formula>
    </cfRule>
  </conditionalFormatting>
  <conditionalFormatting sqref="AM4:AM5">
    <cfRule type="cellIs" dxfId="983" priority="3271" operator="equal">
      <formula>"C1"</formula>
    </cfRule>
    <cfRule type="cellIs" dxfId="982" priority="3270" operator="equal">
      <formula>"C2"</formula>
    </cfRule>
    <cfRule type="cellIs" dxfId="981" priority="3269" operator="equal">
      <formula>"C3"</formula>
    </cfRule>
    <cfRule type="cellIs" dxfId="980" priority="3268" operator="equal">
      <formula>"A OR B"</formula>
    </cfRule>
    <cfRule type="cellIs" dxfId="979" priority="3267" operator="equal">
      <formula>"C4"</formula>
    </cfRule>
    <cfRule type="cellIs" dxfId="978" priority="3266" operator="equal">
      <formula>"B"</formula>
    </cfRule>
    <cfRule type="cellIs" dxfId="977" priority="3265" operator="equal">
      <formula>"A"</formula>
    </cfRule>
    <cfRule type="cellIs" dxfId="976" priority="3263" operator="equal">
      <formula>"SC"</formula>
    </cfRule>
    <cfRule type="cellIs" dxfId="975" priority="3264" operator="equal">
      <formula>"B"</formula>
    </cfRule>
  </conditionalFormatting>
  <conditionalFormatting sqref="AM8:AM19">
    <cfRule type="cellIs" dxfId="974" priority="3262" operator="equal">
      <formula>"C1"</formula>
    </cfRule>
    <cfRule type="cellIs" dxfId="973" priority="3257" operator="equal">
      <formula>"B"</formula>
    </cfRule>
    <cfRule type="cellIs" dxfId="972" priority="3256" operator="equal">
      <formula>"A"</formula>
    </cfRule>
    <cfRule type="cellIs" dxfId="971" priority="3258" operator="equal">
      <formula>"C4"</formula>
    </cfRule>
    <cfRule type="cellIs" dxfId="970" priority="3255" operator="equal">
      <formula>"B"</formula>
    </cfRule>
    <cfRule type="cellIs" dxfId="969" priority="3254" operator="equal">
      <formula>"SC"</formula>
    </cfRule>
    <cfRule type="cellIs" dxfId="968" priority="3259" operator="equal">
      <formula>"A OR B"</formula>
    </cfRule>
    <cfRule type="cellIs" dxfId="967" priority="3260" operator="equal">
      <formula>"C3"</formula>
    </cfRule>
    <cfRule type="cellIs" dxfId="966" priority="3261" operator="equal">
      <formula>"C2"</formula>
    </cfRule>
  </conditionalFormatting>
  <conditionalFormatting sqref="AM24:AM25">
    <cfRule type="cellIs" dxfId="965" priority="3252" operator="equal">
      <formula>"C"</formula>
    </cfRule>
    <cfRule type="cellIs" dxfId="964" priority="3253" operator="equal">
      <formula>"B"</formula>
    </cfRule>
  </conditionalFormatting>
  <conditionalFormatting sqref="AM28:AM47 AM56:AM57 AM60:AM63">
    <cfRule type="cellIs" dxfId="963" priority="3247" operator="equal">
      <formula>"B"</formula>
    </cfRule>
  </conditionalFormatting>
  <conditionalFormatting sqref="AM46">
    <cfRule type="cellIs" dxfId="962" priority="2089" operator="equal">
      <formula>"HC"</formula>
    </cfRule>
    <cfRule type="cellIs" dxfId="961" priority="2088" operator="equal">
      <formula>"C4"</formula>
    </cfRule>
    <cfRule type="cellIs" dxfId="960" priority="2091" operator="equal">
      <formula>"C2"</formula>
    </cfRule>
    <cfRule type="cellIs" dxfId="959" priority="2087" operator="equal">
      <formula>"A"</formula>
    </cfRule>
    <cfRule type="cellIs" dxfId="958" priority="2086" operator="equal">
      <formula>"B"</formula>
    </cfRule>
    <cfRule type="cellIs" dxfId="957" priority="2092" operator="equal">
      <formula>"C1"</formula>
    </cfRule>
    <cfRule type="cellIs" dxfId="956" priority="2084" operator="equal">
      <formula>"B"</formula>
    </cfRule>
    <cfRule type="cellIs" dxfId="955" priority="2090" operator="equal">
      <formula>"C3"</formula>
    </cfRule>
  </conditionalFormatting>
  <conditionalFormatting sqref="AM57">
    <cfRule type="cellIs" dxfId="954" priority="2023" operator="equal">
      <formula>"SC"</formula>
    </cfRule>
    <cfRule type="cellIs" dxfId="953" priority="2022" operator="equal">
      <formula>"A OR B"</formula>
    </cfRule>
    <cfRule type="cellIs" dxfId="952" priority="2044" operator="equal">
      <formula>"HC"</formula>
    </cfRule>
    <cfRule type="cellIs" dxfId="950" priority="2018" operator="equal">
      <formula>"A OR B"</formula>
    </cfRule>
    <cfRule type="cellIs" dxfId="946" priority="2028" operator="equal">
      <formula>"A"</formula>
    </cfRule>
    <cfRule type="cellIs" dxfId="945" priority="2029" operator="equal">
      <formula>"C"</formula>
    </cfRule>
    <cfRule type="cellIs" dxfId="944" priority="2030" operator="equal">
      <formula>"SC"</formula>
    </cfRule>
    <cfRule type="cellIs" dxfId="940" priority="2024" operator="equal">
      <formula>"HC"</formula>
    </cfRule>
    <cfRule type="cellIs" dxfId="939" priority="2043" operator="equal">
      <formula>"SC"</formula>
    </cfRule>
    <cfRule type="cellIs" dxfId="938" priority="2034" operator="equal">
      <formula>"A"</formula>
    </cfRule>
    <cfRule type="cellIs" dxfId="937" priority="2035" operator="equal">
      <formula>"C4"</formula>
    </cfRule>
    <cfRule type="cellIs" dxfId="936" priority="2036" operator="equal">
      <formula>"A OR B"</formula>
    </cfRule>
    <cfRule type="cellIs" dxfId="935" priority="2037" operator="equal">
      <formula>"HC"</formula>
    </cfRule>
    <cfRule type="cellIs" dxfId="934" priority="2038" operator="equal">
      <formula>"C3"</formula>
    </cfRule>
    <cfRule type="cellIs" dxfId="933" priority="2039" operator="equal">
      <formula>"C2"</formula>
    </cfRule>
    <cfRule type="cellIs" dxfId="932" priority="2040" operator="equal">
      <formula>"C1"</formula>
    </cfRule>
    <cfRule type="cellIs" dxfId="930" priority="2042" operator="equal">
      <formula>"A OR B"</formula>
    </cfRule>
    <cfRule type="cellIs" dxfId="929" priority="2048" operator="equal">
      <formula>"B"</formula>
    </cfRule>
  </conditionalFormatting>
  <conditionalFormatting sqref="AM60">
    <cfRule type="cellIs" dxfId="925" priority="8395" operator="equal">
      <formula>"C4"</formula>
    </cfRule>
    <cfRule type="cellIs" dxfId="924" priority="8394" operator="equal">
      <formula>"SC"</formula>
    </cfRule>
    <cfRule type="cellIs" dxfId="920" priority="8390" operator="equal">
      <formula>"HC"</formula>
    </cfRule>
    <cfRule type="cellIs" dxfId="919" priority="8389" operator="equal">
      <formula>"SC"</formula>
    </cfRule>
    <cfRule type="cellIs" dxfId="914" priority="8384" operator="equal">
      <formula>"HC"</formula>
    </cfRule>
    <cfRule type="cellIs" dxfId="913" priority="8383" operator="equal">
      <formula>"SC"</formula>
    </cfRule>
    <cfRule type="cellIs" dxfId="911" priority="8381" operator="equal">
      <formula>"SC"</formula>
    </cfRule>
    <cfRule type="cellIs" dxfId="907" priority="8377" stopIfTrue="1" operator="equal">
      <formula>"HC"</formula>
    </cfRule>
    <cfRule type="cellIs" dxfId="905" priority="8420" operator="equal">
      <formula>"C4"</formula>
    </cfRule>
    <cfRule type="cellIs" dxfId="903" priority="8401" operator="equal">
      <formula>"SC"</formula>
    </cfRule>
    <cfRule type="cellIs" dxfId="902" priority="8419" operator="equal">
      <formula>"SC"</formula>
    </cfRule>
    <cfRule type="cellIs" dxfId="898" priority="8415" operator="equal">
      <formula>"HC"</formula>
    </cfRule>
    <cfRule type="cellIs" dxfId="897" priority="8414" operator="equal">
      <formula>"SC"</formula>
    </cfRule>
    <cfRule type="cellIs" dxfId="893" priority="8409" operator="equal">
      <formula>"HC"</formula>
    </cfRule>
    <cfRule type="cellIs" dxfId="892" priority="8408" operator="equal">
      <formula>"SC"</formula>
    </cfRule>
    <cfRule type="cellIs" dxfId="890" priority="8406" operator="equal">
      <formula>"SC"</formula>
    </cfRule>
    <cfRule type="cellIs" dxfId="886" priority="8402" operator="equal">
      <formula>"HC"</formula>
    </cfRule>
    <cfRule type="cellIs" dxfId="884" priority="8399" operator="equal">
      <formula>"C1"</formula>
    </cfRule>
    <cfRule type="cellIs" dxfId="883" priority="8398" operator="equal">
      <formula>"C2"</formula>
    </cfRule>
    <cfRule type="cellIs" dxfId="882" priority="8397" operator="equal">
      <formula>"C3"</formula>
    </cfRule>
    <cfRule type="cellIs" dxfId="881" priority="8396" operator="equal">
      <formula>"HC"</formula>
    </cfRule>
    <cfRule type="cellIs" dxfId="880" priority="8421" operator="equal">
      <formula>"HC"</formula>
    </cfRule>
    <cfRule type="cellIs" dxfId="879" priority="8422" operator="equal">
      <formula>"C3"</formula>
    </cfRule>
    <cfRule type="cellIs" dxfId="878" priority="8423" operator="equal">
      <formula>"C2"</formula>
    </cfRule>
    <cfRule type="cellIs" dxfId="877" priority="8424" operator="equal">
      <formula>"C1"</formula>
    </cfRule>
    <cfRule type="cellIs" dxfId="875" priority="8426" operator="equal">
      <formula>"A OR B"</formula>
    </cfRule>
    <cfRule type="cellIs" dxfId="874" priority="8427" operator="equal">
      <formula>"SC"</formula>
    </cfRule>
    <cfRule type="cellIs" dxfId="873" priority="8428" operator="equal">
      <formula>"HC"</formula>
    </cfRule>
    <cfRule type="cellIs" dxfId="870" priority="8432" operator="equal">
      <formula>"A"</formula>
    </cfRule>
    <cfRule type="cellIs" dxfId="869" priority="8433" operator="equal">
      <formula>"SC"</formula>
    </cfRule>
  </conditionalFormatting>
  <conditionalFormatting sqref="AM60:AM61">
    <cfRule type="cellIs" dxfId="866" priority="8455" operator="equal">
      <formula>"HC"</formula>
    </cfRule>
    <cfRule type="cellIs" dxfId="863" priority="8445" operator="equal">
      <formula>"SC"</formula>
    </cfRule>
    <cfRule type="cellIs" dxfId="862" priority="8435" operator="equal">
      <formula>"A OR B"</formula>
    </cfRule>
    <cfRule type="cellIs" dxfId="860" priority="8436" operator="equal">
      <formula>"SC"</formula>
    </cfRule>
    <cfRule type="cellIs" dxfId="859" priority="8437" operator="equal">
      <formula>"HC"</formula>
    </cfRule>
    <cfRule type="cellIs" dxfId="857" priority="8444" operator="equal">
      <formula>"A OR B"</formula>
    </cfRule>
    <cfRule type="cellIs" dxfId="855" priority="8442" operator="equal">
      <formula>"C"</formula>
    </cfRule>
    <cfRule type="cellIs" dxfId="854" priority="8441" operator="equal">
      <formula>"A"</formula>
    </cfRule>
    <cfRule type="cellIs" dxfId="853" priority="8450" operator="equal">
      <formula>"A"</formula>
    </cfRule>
    <cfRule type="cellIs" dxfId="852" priority="8453" operator="equal">
      <formula>"C4"</formula>
    </cfRule>
    <cfRule type="cellIs" dxfId="851" priority="8454" operator="equal">
      <formula>"A OR B"</formula>
    </cfRule>
    <cfRule type="cellIs" dxfId="850" priority="8456" operator="equal">
      <formula>"C3"</formula>
    </cfRule>
    <cfRule type="cellIs" dxfId="849" priority="8457" operator="equal">
      <formula>"C2"</formula>
    </cfRule>
    <cfRule type="cellIs" dxfId="848" priority="8458" operator="equal">
      <formula>"C1"</formula>
    </cfRule>
  </conditionalFormatting>
  <conditionalFormatting sqref="AM60:AM62">
    <cfRule type="cellIs" dxfId="847" priority="8446" operator="equal">
      <formula>"HC"</formula>
    </cfRule>
    <cfRule type="cellIs" dxfId="845" priority="8452" operator="equal">
      <formula>"SC"</formula>
    </cfRule>
  </conditionalFormatting>
  <conditionalFormatting sqref="AM60:AM64 AH62:AM63">
    <cfRule type="cellIs" dxfId="843" priority="7559" operator="equal">
      <formula>"SC"</formula>
    </cfRule>
  </conditionalFormatting>
  <conditionalFormatting sqref="AM60:AM71">
    <cfRule type="cellIs" dxfId="842" priority="3315" operator="equal">
      <formula>"HC"</formula>
    </cfRule>
    <cfRule type="cellIs" dxfId="841" priority="3318" operator="equal">
      <formula>"C1"</formula>
    </cfRule>
    <cfRule type="cellIs" dxfId="840" priority="3205" operator="equal">
      <formula>"A"</formula>
    </cfRule>
    <cfRule type="cellIs" dxfId="839" priority="3206" operator="equal">
      <formula>"SC"</formula>
    </cfRule>
    <cfRule type="cellIs" dxfId="838" priority="3317" operator="equal">
      <formula>"C2"</formula>
    </cfRule>
    <cfRule type="cellIs" dxfId="837" priority="3373" operator="equal">
      <formula>"A OR B"</formula>
    </cfRule>
    <cfRule type="cellIs" dxfId="836" priority="3316" operator="equal">
      <formula>"C3"</formula>
    </cfRule>
    <cfRule type="cellIs" dxfId="835" priority="3314" operator="equal">
      <formula>"C4"</formula>
    </cfRule>
  </conditionalFormatting>
  <conditionalFormatting sqref="AM60:AM75 AL73 AM28:AM47 AM56:AM57">
    <cfRule type="cellIs" dxfId="834" priority="3246" operator="equal">
      <formula>"C"</formula>
    </cfRule>
  </conditionalFormatting>
  <conditionalFormatting sqref="AM61">
    <cfRule type="cellIs" dxfId="832" priority="8374" operator="equal">
      <formula>"B"</formula>
    </cfRule>
    <cfRule type="cellIs" dxfId="830" priority="8368" operator="equal">
      <formula>"A OR B"</formula>
    </cfRule>
  </conditionalFormatting>
  <conditionalFormatting sqref="AM61:AM64 AH62:AM63">
    <cfRule type="cellIs" dxfId="828" priority="7554" operator="equal">
      <formula>"HC"</formula>
    </cfRule>
  </conditionalFormatting>
  <conditionalFormatting sqref="AM62">
    <cfRule type="cellIs" dxfId="824" priority="8473" operator="equal">
      <formula>"SC"</formula>
    </cfRule>
    <cfRule type="cellIs" dxfId="823" priority="8474" operator="equal">
      <formula>"C4"</formula>
    </cfRule>
    <cfRule type="cellIs" dxfId="822" priority="8475" operator="equal">
      <formula>"HC"</formula>
    </cfRule>
    <cfRule type="cellIs" dxfId="821" priority="8476" operator="equal">
      <formula>"C3"</formula>
    </cfRule>
    <cfRule type="cellIs" dxfId="820" priority="8477" operator="equal">
      <formula>"C2"</formula>
    </cfRule>
    <cfRule type="cellIs" dxfId="819" priority="8478" operator="equal">
      <formula>"C1"</formula>
    </cfRule>
  </conditionalFormatting>
  <conditionalFormatting sqref="AM65:AM71">
    <cfRule type="cellIs" dxfId="818" priority="3086" operator="equal">
      <formula>"C"</formula>
    </cfRule>
    <cfRule type="cellIs" dxfId="816" priority="3189" operator="equal">
      <formula>"B"</formula>
    </cfRule>
  </conditionalFormatting>
  <conditionalFormatting sqref="AM66:AM67">
    <cfRule type="cellIs" dxfId="815" priority="8487" operator="equal">
      <formula>"SC"</formula>
    </cfRule>
    <cfRule type="cellIs" dxfId="813" priority="8480" operator="equal">
      <formula>"A OR B"</formula>
    </cfRule>
    <cfRule type="cellIs" dxfId="812" priority="8481" operator="equal">
      <formula>"SC"</formula>
    </cfRule>
    <cfRule type="cellIs" dxfId="811" priority="8482" operator="equal">
      <formula>"HC"</formula>
    </cfRule>
    <cfRule type="cellIs" dxfId="807" priority="8486" operator="equal">
      <formula>"A"</formula>
    </cfRule>
    <cfRule type="cellIs" dxfId="806" priority="8490" operator="equal">
      <formula>"B"</formula>
    </cfRule>
    <cfRule type="cellIs" dxfId="804" priority="8492" operator="equal">
      <formula>"A OR B"</formula>
    </cfRule>
    <cfRule type="cellIs" dxfId="803" priority="8493" operator="equal">
      <formula>"SC"</formula>
    </cfRule>
    <cfRule type="cellIs" dxfId="802" priority="8494" operator="equal">
      <formula>"HC"</formula>
    </cfRule>
    <cfRule type="cellIs" dxfId="798" priority="8502" operator="equal">
      <formula>"C4"</formula>
    </cfRule>
    <cfRule type="cellIs" dxfId="797" priority="8503" operator="equal">
      <formula>"A OR B"</formula>
    </cfRule>
    <cfRule type="cellIs" dxfId="796" priority="8504" operator="equal">
      <formula>"HC"</formula>
    </cfRule>
    <cfRule type="cellIs" dxfId="795" priority="8505" operator="equal">
      <formula>"C3"</formula>
    </cfRule>
    <cfRule type="cellIs" dxfId="794" priority="8506" operator="equal">
      <formula>"C2"</formula>
    </cfRule>
    <cfRule type="cellIs" dxfId="793" priority="8507" operator="equal">
      <formula>"C1"</formula>
    </cfRule>
  </conditionalFormatting>
  <conditionalFormatting sqref="AM66:AM71">
    <cfRule type="cellIs" dxfId="791" priority="3199" operator="equal">
      <formula>"A OR B"</formula>
    </cfRule>
    <cfRule type="cellIs" dxfId="788" priority="8489" operator="equal">
      <formula>"C"</formula>
    </cfRule>
    <cfRule type="cellIs" dxfId="785" priority="3194" operator="equal">
      <formula>"A OR B"</formula>
    </cfRule>
    <cfRule type="cellIs" dxfId="783" priority="3193" operator="equal">
      <formula>"HC"</formula>
    </cfRule>
    <cfRule type="cellIs" dxfId="781" priority="3201" operator="equal">
      <formula>"HC"</formula>
    </cfRule>
    <cfRule type="cellIs" dxfId="780" priority="3200" operator="equal">
      <formula>"SC"</formula>
    </cfRule>
    <cfRule type="cellIs" dxfId="779" priority="8498" operator="equal">
      <formula>"A"</formula>
    </cfRule>
    <cfRule type="cellIs" dxfId="778" priority="8499" operator="equal">
      <formula>"SC"</formula>
    </cfRule>
  </conditionalFormatting>
  <conditionalFormatting sqref="AM68:AM71">
    <cfRule type="cellIs" dxfId="776" priority="3090" operator="equal">
      <formula>"C3"</formula>
    </cfRule>
    <cfRule type="cellIs" dxfId="775" priority="3089" operator="equal">
      <formula>"HC"</formula>
    </cfRule>
    <cfRule type="cellIs" dxfId="774" priority="3053" operator="equal">
      <formula>"SC"</formula>
    </cfRule>
    <cfRule type="cellIs" dxfId="773" priority="3079" operator="equal">
      <formula>"SC"</formula>
    </cfRule>
    <cfRule type="cellIs" dxfId="772" priority="3080" operator="equal">
      <formula>"HC"</formula>
    </cfRule>
    <cfRule type="cellIs" dxfId="768" priority="3084" operator="equal">
      <formula>"A"</formula>
    </cfRule>
    <cfRule type="cellIs" dxfId="767" priority="3093" operator="equal">
      <formula>"B"</formula>
    </cfRule>
    <cfRule type="cellIs" dxfId="766" priority="3085" operator="equal">
      <formula>"SC"</formula>
    </cfRule>
    <cfRule type="cellIs" dxfId="765" priority="3049" operator="equal">
      <formula>"A"</formula>
    </cfRule>
    <cfRule type="cellIs" dxfId="764" priority="3088" operator="equal">
      <formula>"A OR B"</formula>
    </cfRule>
    <cfRule type="cellIs" dxfId="763" priority="3075" operator="equal">
      <formula>"SC"</formula>
    </cfRule>
    <cfRule type="cellIs" dxfId="762" priority="3076" operator="equal">
      <formula>"C"</formula>
    </cfRule>
    <cfRule type="cellIs" dxfId="760" priority="3078" operator="equal">
      <formula>"A OR B"</formula>
    </cfRule>
    <cfRule type="cellIs" dxfId="759" priority="3074" operator="equal">
      <formula>"A"</formula>
    </cfRule>
    <cfRule type="cellIs" dxfId="758" priority="3087" operator="equal">
      <formula>"C4"</formula>
    </cfRule>
    <cfRule type="cellIs" dxfId="754" priority="3070" operator="equal">
      <formula>"HC"</formula>
    </cfRule>
    <cfRule type="cellIs" dxfId="753" priority="3069" operator="equal">
      <formula>"SC"</formula>
    </cfRule>
    <cfRule type="cellIs" dxfId="752" priority="8550" operator="equal">
      <formula>"B"</formula>
    </cfRule>
    <cfRule type="cellIs" dxfId="751" priority="3068" operator="equal">
      <formula>"A OR B"</formula>
    </cfRule>
    <cfRule type="cellIs" dxfId="749" priority="3050" operator="equal">
      <formula>"C"</formula>
    </cfRule>
    <cfRule type="cellIs" dxfId="748" priority="3092" operator="equal">
      <formula>"C1"</formula>
    </cfRule>
    <cfRule type="cellIs" dxfId="747" priority="3064" operator="equal">
      <formula>"B"</formula>
    </cfRule>
    <cfRule type="cellIs" dxfId="746" priority="3060" operator="equal">
      <formula>"C1"</formula>
    </cfRule>
    <cfRule type="cellIs" dxfId="745" priority="3059" operator="equal">
      <formula>"C2"</formula>
    </cfRule>
    <cfRule type="cellIs" dxfId="744" priority="3058" operator="equal">
      <formula>"C3"</formula>
    </cfRule>
    <cfRule type="cellIs" dxfId="743" priority="3057" operator="equal">
      <formula>"HC"</formula>
    </cfRule>
    <cfRule type="cellIs" dxfId="742" priority="3056" operator="equal">
      <formula>"C4"</formula>
    </cfRule>
    <cfRule type="cellIs" dxfId="741" priority="3091" operator="equal">
      <formula>"C2"</formula>
    </cfRule>
    <cfRule type="cellIs" dxfId="740" priority="8525" operator="equal">
      <formula>"A OR B"</formula>
    </cfRule>
    <cfRule type="cellIs" dxfId="739" priority="8526" operator="equal">
      <formula>"SC"</formula>
    </cfRule>
    <cfRule type="cellIs" dxfId="738" priority="8527" operator="equal">
      <formula>"HC"</formula>
    </cfRule>
    <cfRule type="cellIs" dxfId="734" priority="8531" operator="equal">
      <formula>"A"</formula>
    </cfRule>
    <cfRule type="cellIs" dxfId="733" priority="8532" operator="equal">
      <formula>"SC"</formula>
    </cfRule>
    <cfRule type="cellIs" dxfId="732" priority="8534" operator="equal">
      <formula>"C"</formula>
    </cfRule>
    <cfRule type="cellIs" dxfId="731" priority="8536" operator="equal">
      <formula>"C4"</formula>
    </cfRule>
    <cfRule type="cellIs" dxfId="730" priority="8537" operator="equal">
      <formula>"A OR B"</formula>
    </cfRule>
    <cfRule type="cellIs" dxfId="729" priority="8538" operator="equal">
      <formula>"HC"</formula>
    </cfRule>
    <cfRule type="cellIs" dxfId="728" priority="8539" operator="equal">
      <formula>"C3"</formula>
    </cfRule>
    <cfRule type="cellIs" dxfId="727" priority="8540" operator="equal">
      <formula>"C2"</formula>
    </cfRule>
    <cfRule type="cellIs" dxfId="726" priority="8541" operator="equal">
      <formula>"C1"</formula>
    </cfRule>
  </conditionalFormatting>
  <conditionalFormatting sqref="AM68:AM75 AL73">
    <cfRule type="cellIs" dxfId="725" priority="4115" operator="equal">
      <formula>"B"</formula>
    </cfRule>
  </conditionalFormatting>
  <conditionalFormatting sqref="AM69">
    <cfRule type="cellIs" dxfId="723" priority="3044" operator="equal">
      <formula>"A"</formula>
    </cfRule>
    <cfRule type="cellIs" dxfId="722" priority="3045" operator="equal">
      <formula>"SC"</formula>
    </cfRule>
    <cfRule type="cellIs" dxfId="718" priority="3051" operator="equal">
      <formula>"B"</formula>
    </cfRule>
    <cfRule type="cellIs" dxfId="717" priority="3062" operator="equal">
      <formula>"A OR B"</formula>
    </cfRule>
    <cfRule type="cellIs" dxfId="716" priority="3063" operator="equal">
      <formula>"B"</formula>
    </cfRule>
    <cfRule type="cellIs" dxfId="715" priority="3319" operator="equal">
      <formula>"B"</formula>
    </cfRule>
    <cfRule type="cellIs" dxfId="714" priority="1391" operator="equal">
      <formula>"SC"</formula>
    </cfRule>
    <cfRule type="cellIs" dxfId="713" priority="3032" operator="equal">
      <formula>"B"</formula>
    </cfRule>
    <cfRule type="cellIs" dxfId="712" priority="1390" operator="equal">
      <formula>"A OR B"</formula>
    </cfRule>
    <cfRule type="cellIs" dxfId="710" priority="1388" operator="equal">
      <formula>"C"</formula>
    </cfRule>
    <cfRule type="cellIs" dxfId="709" priority="1387" operator="equal">
      <formula>"SC"</formula>
    </cfRule>
    <cfRule type="cellIs" dxfId="708" priority="1386" operator="equal">
      <formula>"A"</formula>
    </cfRule>
    <cfRule type="cellIs" dxfId="704" priority="1382" operator="equal">
      <formula>"HC"</formula>
    </cfRule>
    <cfRule type="cellIs" dxfId="703" priority="1381" operator="equal">
      <formula>"SC"</formula>
    </cfRule>
    <cfRule type="cellIs" dxfId="702" priority="1380" operator="equal">
      <formula>"A OR B"</formula>
    </cfRule>
    <cfRule type="cellIs" dxfId="700" priority="1392" operator="equal">
      <formula>"HC"</formula>
    </cfRule>
    <cfRule type="cellIs" dxfId="696" priority="1396" operator="equal">
      <formula>"A"</formula>
    </cfRule>
    <cfRule type="cellIs" dxfId="695" priority="1397" operator="equal">
      <formula>"SC"</formula>
    </cfRule>
    <cfRule type="cellIs" dxfId="694" priority="1398" operator="equal">
      <formula>"C"</formula>
    </cfRule>
    <cfRule type="cellIs" dxfId="693" priority="1399" operator="equal">
      <formula>"C4"</formula>
    </cfRule>
    <cfRule type="cellIs" dxfId="692" priority="1400" operator="equal">
      <formula>"A OR B"</formula>
    </cfRule>
    <cfRule type="cellIs" dxfId="691" priority="1401" operator="equal">
      <formula>"HC"</formula>
    </cfRule>
    <cfRule type="cellIs" dxfId="690" priority="1402" operator="equal">
      <formula>"C3"</formula>
    </cfRule>
    <cfRule type="cellIs" dxfId="689" priority="1403" operator="equal">
      <formula>"C2"</formula>
    </cfRule>
    <cfRule type="cellIs" dxfId="688" priority="1404" operator="equal">
      <formula>"C1"</formula>
    </cfRule>
    <cfRule type="cellIs" dxfId="687" priority="1405" operator="equal">
      <formula>"B"</formula>
    </cfRule>
    <cfRule type="cellIs" dxfId="686" priority="3019" operator="equal">
      <formula>"B"</formula>
    </cfRule>
    <cfRule type="cellIs" dxfId="684" priority="3026" operator="equal">
      <formula>"A OR B"</formula>
    </cfRule>
    <cfRule type="cellIs" dxfId="683" priority="3027" operator="equal">
      <formula>"HC"</formula>
    </cfRule>
    <cfRule type="cellIs" dxfId="679" priority="3031" operator="equal">
      <formula>"C"</formula>
    </cfRule>
    <cfRule type="cellIs" dxfId="677" priority="3034" operator="equal">
      <formula>"A OR B"</formula>
    </cfRule>
    <cfRule type="cellIs" dxfId="676" priority="3035" operator="equal">
      <formula>"HC"</formula>
    </cfRule>
    <cfRule type="cellIs" dxfId="675" priority="3036" operator="equal">
      <formula>"SC"</formula>
    </cfRule>
    <cfRule type="cellIs" dxfId="673" priority="3038" operator="equal">
      <formula>"A OR B"</formula>
    </cfRule>
    <cfRule type="cellIs" dxfId="672" priority="3039" operator="equal">
      <formula>"SC"</formula>
    </cfRule>
    <cfRule type="cellIs" dxfId="671" priority="3040" operator="equal">
      <formula>"HC"</formula>
    </cfRule>
  </conditionalFormatting>
  <conditionalFormatting sqref="AM69:AM70">
    <cfRule type="cellIs" dxfId="668" priority="1436" operator="equal">
      <formula>"HC"</formula>
    </cfRule>
    <cfRule type="cellIs" dxfId="667" priority="1435" operator="equal">
      <formula>"A OR B"</formula>
    </cfRule>
    <cfRule type="cellIs" dxfId="666" priority="1434" operator="equal">
      <formula>"C4"</formula>
    </cfRule>
    <cfRule type="cellIs" dxfId="665" priority="1433" operator="equal">
      <formula>"C"</formula>
    </cfRule>
    <cfRule type="cellIs" dxfId="664" priority="1432" operator="equal">
      <formula>"SC"</formula>
    </cfRule>
    <cfRule type="cellIs" dxfId="663" priority="1431" operator="equal">
      <formula>"A"</formula>
    </cfRule>
    <cfRule type="cellIs" dxfId="662" priority="1446" operator="equal">
      <formula>"HC"</formula>
    </cfRule>
    <cfRule type="cellIs" dxfId="661" priority="1364" operator="equal">
      <formula>"SC"</formula>
    </cfRule>
    <cfRule type="cellIs" dxfId="660" priority="1359" operator="equal">
      <formula>"C1"</formula>
    </cfRule>
    <cfRule type="cellIs" dxfId="659" priority="1358" operator="equal">
      <formula>"C2"</formula>
    </cfRule>
    <cfRule type="cellIs" dxfId="658" priority="1357" operator="equal">
      <formula>"C3"</formula>
    </cfRule>
    <cfRule type="cellIs" dxfId="657" priority="1356" operator="equal">
      <formula>"HC"</formula>
    </cfRule>
    <cfRule type="cellIs" dxfId="656" priority="1354" operator="equal">
      <formula>"C4"</formula>
    </cfRule>
    <cfRule type="cellIs" dxfId="655" priority="1353" operator="equal">
      <formula>"C"</formula>
    </cfRule>
    <cfRule type="cellIs" dxfId="654" priority="1351" operator="equal">
      <formula>"A"</formula>
    </cfRule>
    <cfRule type="cellIs" dxfId="650" priority="1445" operator="equal">
      <formula>"SC"</formula>
    </cfRule>
    <cfRule type="cellIs" dxfId="649" priority="1444" operator="equal">
      <formula>"A OR B"</formula>
    </cfRule>
    <cfRule type="cellIs" dxfId="647" priority="1442" operator="equal">
      <formula>"B"</formula>
    </cfRule>
    <cfRule type="cellIs" dxfId="646" priority="1439" operator="equal">
      <formula>"C1"</formula>
    </cfRule>
    <cfRule type="cellIs" dxfId="645" priority="1438" operator="equal">
      <formula>"C2"</formula>
    </cfRule>
    <cfRule type="cellIs" dxfId="644" priority="1437" operator="equal">
      <formula>"C3"</formula>
    </cfRule>
  </conditionalFormatting>
  <conditionalFormatting sqref="AM69:AM71">
    <cfRule type="cellIs" dxfId="643" priority="2940" operator="equal">
      <formula>"SC"</formula>
    </cfRule>
    <cfRule type="cellIs" dxfId="642" priority="2929" operator="equal">
      <formula>"C"</formula>
    </cfRule>
    <cfRule type="cellIs" dxfId="641" priority="1304" operator="equal">
      <formula>"B"</formula>
    </cfRule>
  </conditionalFormatting>
  <conditionalFormatting sqref="AM70">
    <cfRule type="cellIs" dxfId="638" priority="1408" operator="equal">
      <formula>"HC"</formula>
    </cfRule>
    <cfRule type="cellIs" dxfId="637" priority="1407" operator="equal">
      <formula>"SC"</formula>
    </cfRule>
    <cfRule type="cellIs" dxfId="635" priority="1484" operator="equal">
      <formula>"C1"</formula>
    </cfRule>
    <cfRule type="cellIs" dxfId="634" priority="1483" operator="equal">
      <formula>"C2"</formula>
    </cfRule>
    <cfRule type="cellIs" dxfId="630" priority="1457" operator="equal">
      <formula>"B"</formula>
    </cfRule>
    <cfRule type="cellIs" dxfId="628" priority="1459" operator="equal">
      <formula>"A OR B"</formula>
    </cfRule>
    <cfRule type="cellIs" dxfId="627" priority="1460" operator="equal">
      <formula>"SC"</formula>
    </cfRule>
    <cfRule type="cellIs" dxfId="626" priority="1461" operator="equal">
      <formula>"HC"</formula>
    </cfRule>
    <cfRule type="cellIs" dxfId="622" priority="1465" operator="equal">
      <formula>"A"</formula>
    </cfRule>
    <cfRule type="cellIs" dxfId="621" priority="1466" operator="equal">
      <formula>"SC"</formula>
    </cfRule>
    <cfRule type="cellIs" dxfId="620" priority="1467" operator="equal">
      <formula>"C"</formula>
    </cfRule>
    <cfRule type="cellIs" dxfId="619" priority="1468" operator="equal">
      <formula>"B"</formula>
    </cfRule>
    <cfRule type="cellIs" dxfId="617" priority="1470" operator="equal">
      <formula>"A OR B"</formula>
    </cfRule>
    <cfRule type="cellIs" dxfId="615" priority="1471" operator="equal">
      <formula>"SC"</formula>
    </cfRule>
    <cfRule type="cellIs" dxfId="614" priority="1472" operator="equal">
      <formula>"HC"</formula>
    </cfRule>
    <cfRule type="cellIs" dxfId="611" priority="1476" operator="equal">
      <formula>"A"</formula>
    </cfRule>
    <cfRule type="cellIs" dxfId="609" priority="1450" operator="equal">
      <formula>"C1"</formula>
    </cfRule>
    <cfRule type="cellIs" dxfId="608" priority="1452" operator="equal">
      <formula>"SC"</formula>
    </cfRule>
    <cfRule type="cellIs" dxfId="607" priority="1453" operator="equal">
      <formula>"HC"</formula>
    </cfRule>
    <cfRule type="cellIs" dxfId="601" priority="1365" operator="equal">
      <formula>"HC"</formula>
    </cfRule>
    <cfRule type="cellIs" dxfId="599" priority="1363" operator="equal">
      <formula>"A OR B"</formula>
    </cfRule>
    <cfRule type="cellIs" dxfId="597" priority="1360" operator="equal">
      <formula>"B"</formula>
    </cfRule>
    <cfRule type="cellIs" dxfId="595" priority="1427" operator="equal">
      <formula>"HC"</formula>
    </cfRule>
    <cfRule type="cellIs" dxfId="594" priority="1426" operator="equal">
      <formula>"SC"</formula>
    </cfRule>
    <cfRule type="cellIs" dxfId="593" priority="1425" operator="equal">
      <formula>"A OR B"</formula>
    </cfRule>
    <cfRule type="cellIs" dxfId="592" priority="1355" operator="equal">
      <formula>"A OR B"</formula>
    </cfRule>
    <cfRule type="cellIs" dxfId="590" priority="1423" operator="equal">
      <formula>"B"</formula>
    </cfRule>
    <cfRule type="cellIs" dxfId="589" priority="1482" operator="equal">
      <formula>"C3"</formula>
    </cfRule>
    <cfRule type="cellIs" dxfId="588" priority="1422" operator="equal">
      <formula>"C"</formula>
    </cfRule>
    <cfRule type="cellIs" dxfId="584" priority="1347" operator="equal">
      <formula>"HC"</formula>
    </cfRule>
    <cfRule type="cellIs" dxfId="583" priority="1346" operator="equal">
      <formula>"SC"</formula>
    </cfRule>
    <cfRule type="cellIs" dxfId="582" priority="1345" operator="equal">
      <formula>"A OR B"</formula>
    </cfRule>
    <cfRule type="cellIs" dxfId="580" priority="1343" operator="equal">
      <formula>"C"</formula>
    </cfRule>
    <cfRule type="cellIs" dxfId="579" priority="1342" operator="equal">
      <formula>"SC"</formula>
    </cfRule>
    <cfRule type="cellIs" dxfId="578" priority="1341" operator="equal">
      <formula>"A"</formula>
    </cfRule>
    <cfRule type="cellIs" dxfId="575" priority="1337" operator="equal">
      <formula>"HC"</formula>
    </cfRule>
    <cfRule type="cellIs" dxfId="574" priority="1336" operator="equal">
      <formula>"SC"</formula>
    </cfRule>
    <cfRule type="cellIs" dxfId="573" priority="1335" operator="equal">
      <formula>"A OR B"</formula>
    </cfRule>
    <cfRule type="cellIs" dxfId="571" priority="1421" operator="equal">
      <formula>"SC"</formula>
    </cfRule>
    <cfRule type="cellIs" dxfId="570" priority="1481" operator="equal">
      <formula>"HC"</formula>
    </cfRule>
    <cfRule type="cellIs" dxfId="569" priority="1480" operator="equal">
      <formula>"A OR B"</formula>
    </cfRule>
    <cfRule type="cellIs" dxfId="568" priority="1479" operator="equal">
      <formula>"C4"</formula>
    </cfRule>
    <cfRule type="cellIs" dxfId="567" priority="1478" operator="equal">
      <formula>"C"</formula>
    </cfRule>
    <cfRule type="cellIs" dxfId="566" priority="1477" operator="equal">
      <formula>"SC"</formula>
    </cfRule>
    <cfRule type="cellIs" dxfId="565" priority="1420" operator="equal">
      <formula>"A"</formula>
    </cfRule>
    <cfRule type="cellIs" dxfId="561" priority="1416" operator="equal">
      <formula>"HC"</formula>
    </cfRule>
    <cfRule type="cellIs" dxfId="560" priority="1415" operator="equal">
      <formula>"SC"</formula>
    </cfRule>
    <cfRule type="cellIs" dxfId="559" priority="1414" operator="equal">
      <formula>"A OR B"</formula>
    </cfRule>
    <cfRule type="cellIs" dxfId="558" priority="1441" operator="equal">
      <formula>"B"</formula>
    </cfRule>
    <cfRule type="cellIs" dxfId="557" priority="1440" operator="equal">
      <formula>"B"</formula>
    </cfRule>
    <cfRule type="cellIs" dxfId="555" priority="1412" operator="equal">
      <formula>"B"</formula>
    </cfRule>
    <cfRule type="cellIs" dxfId="553" priority="1352" operator="equal">
      <formula>"SC"</formula>
    </cfRule>
  </conditionalFormatting>
  <conditionalFormatting sqref="AM70:AM71">
    <cfRule type="cellIs" dxfId="551" priority="2939" operator="equal">
      <formula>"A OR B"</formula>
    </cfRule>
    <cfRule type="cellIs" dxfId="549" priority="2941" operator="equal">
      <formula>"HC"</formula>
    </cfRule>
  </conditionalFormatting>
  <conditionalFormatting sqref="AM71">
    <cfRule type="cellIs" dxfId="545" priority="1316" operator="equal">
      <formula>"A OR B"</formula>
    </cfRule>
    <cfRule type="cellIs" dxfId="541" priority="1308" operator="equal">
      <formula>"HC"</formula>
    </cfRule>
    <cfRule type="cellIs" dxfId="540" priority="1307" operator="equal">
      <formula>"SC"</formula>
    </cfRule>
    <cfRule type="cellIs" dxfId="539" priority="1306" operator="equal">
      <formula>"A OR B"</formula>
    </cfRule>
    <cfRule type="cellIs" dxfId="536" priority="1303" operator="equal">
      <formula>"C"</formula>
    </cfRule>
    <cfRule type="cellIs" dxfId="535" priority="1302" operator="equal">
      <formula>"SC"</formula>
    </cfRule>
    <cfRule type="cellIs" dxfId="534" priority="1301" operator="equal">
      <formula>"A"</formula>
    </cfRule>
    <cfRule type="cellIs" dxfId="530" priority="1297" operator="equal">
      <formula>"HC"</formula>
    </cfRule>
    <cfRule type="cellIs" dxfId="529" priority="1296" operator="equal">
      <formula>"SC"</formula>
    </cfRule>
    <cfRule type="cellIs" dxfId="528" priority="1295" operator="equal">
      <formula>"A OR B"</formula>
    </cfRule>
    <cfRule type="cellIs" dxfId="526" priority="1293" operator="equal">
      <formula>"B"</formula>
    </cfRule>
    <cfRule type="cellIs" dxfId="522" priority="1289" operator="equal">
      <formula>"HC"</formula>
    </cfRule>
    <cfRule type="cellIs" dxfId="521" priority="1288" operator="equal">
      <formula>"SC"</formula>
    </cfRule>
    <cfRule type="cellIs" dxfId="519" priority="1286" operator="equal">
      <formula>"C1"</formula>
    </cfRule>
    <cfRule type="cellIs" dxfId="515" priority="1282" operator="equal">
      <formula>"HC"</formula>
    </cfRule>
    <cfRule type="cellIs" dxfId="514" priority="1281" operator="equal">
      <formula>"SC"</formula>
    </cfRule>
    <cfRule type="cellIs" dxfId="513" priority="1280" operator="equal">
      <formula>"A OR B"</formula>
    </cfRule>
    <cfRule type="cellIs" dxfId="511" priority="1278" operator="equal">
      <formula>"B"</formula>
    </cfRule>
    <cfRule type="cellIs" dxfId="510" priority="1277" operator="equal">
      <formula>"B"</formula>
    </cfRule>
    <cfRule type="cellIs" dxfId="509" priority="1276" operator="equal">
      <formula>"B"</formula>
    </cfRule>
    <cfRule type="cellIs" dxfId="508" priority="1275" operator="equal">
      <formula>"C1"</formula>
    </cfRule>
    <cfRule type="cellIs" dxfId="507" priority="1274" operator="equal">
      <formula>"C2"</formula>
    </cfRule>
    <cfRule type="cellIs" dxfId="506" priority="1273" operator="equal">
      <formula>"C3"</formula>
    </cfRule>
    <cfRule type="cellIs" dxfId="505" priority="1272" operator="equal">
      <formula>"HC"</formula>
    </cfRule>
    <cfRule type="cellIs" dxfId="504" priority="1271" operator="equal">
      <formula>"A OR B"</formula>
    </cfRule>
    <cfRule type="cellIs" dxfId="503" priority="1270" operator="equal">
      <formula>"C4"</formula>
    </cfRule>
    <cfRule type="cellIs" dxfId="502" priority="1269" operator="equal">
      <formula>"C"</formula>
    </cfRule>
    <cfRule type="cellIs" dxfId="501" priority="1268" operator="equal">
      <formula>"SC"</formula>
    </cfRule>
    <cfRule type="cellIs" dxfId="500" priority="1267" operator="equal">
      <formula>"A"</formula>
    </cfRule>
    <cfRule type="cellIs" dxfId="496" priority="1263" operator="equal">
      <formula>"HC"</formula>
    </cfRule>
    <cfRule type="cellIs" dxfId="495" priority="1262" operator="equal">
      <formula>"SC"</formula>
    </cfRule>
    <cfRule type="cellIs" dxfId="494" priority="1261" operator="equal">
      <formula>"A OR B"</formula>
    </cfRule>
    <cfRule type="cellIs" dxfId="492" priority="1259" operator="equal">
      <formula>"B"</formula>
    </cfRule>
    <cfRule type="cellIs" dxfId="491" priority="1258" operator="equal">
      <formula>"C"</formula>
    </cfRule>
    <cfRule type="cellIs" dxfId="490" priority="1257" operator="equal">
      <formula>"SC"</formula>
    </cfRule>
    <cfRule type="cellIs" dxfId="489" priority="1256" operator="equal">
      <formula>"A"</formula>
    </cfRule>
    <cfRule type="cellIs" dxfId="485" priority="1252" operator="equal">
      <formula>"HC"</formula>
    </cfRule>
    <cfRule type="cellIs" dxfId="484" priority="1251" operator="equal">
      <formula>"SC"</formula>
    </cfRule>
    <cfRule type="cellIs" dxfId="483" priority="1250" operator="equal">
      <formula>"A OR B"</formula>
    </cfRule>
    <cfRule type="cellIs" dxfId="481" priority="1248" operator="equal">
      <formula>"B"</formula>
    </cfRule>
    <cfRule type="cellIs" dxfId="477" priority="1244" operator="equal">
      <formula>"HC"</formula>
    </cfRule>
    <cfRule type="cellIs" dxfId="476" priority="1243" operator="equal">
      <formula>"SC"</formula>
    </cfRule>
    <cfRule type="cellIs" dxfId="471" priority="1238" operator="equal">
      <formula>"HC"</formula>
    </cfRule>
    <cfRule type="cellIs" dxfId="470" priority="1237" operator="equal">
      <formula>"SC"</formula>
    </cfRule>
    <cfRule type="cellIs" dxfId="469" priority="1236" operator="equal">
      <formula>"A OR B"</formula>
    </cfRule>
    <cfRule type="cellIs" dxfId="467" priority="1233" operator="equal">
      <formula>"B"</formula>
    </cfRule>
    <cfRule type="cellIs" dxfId="466" priority="1232" operator="equal">
      <formula>"C1"</formula>
    </cfRule>
    <cfRule type="cellIs" dxfId="465" priority="2952" operator="equal">
      <formula>"A OR B"</formula>
    </cfRule>
    <cfRule type="cellIs" dxfId="464" priority="2953" operator="equal">
      <formula>"SC"</formula>
    </cfRule>
    <cfRule type="cellIs" dxfId="463" priority="2954" operator="equal">
      <formula>"HC"</formula>
    </cfRule>
    <cfRule type="cellIs" dxfId="459" priority="2958" operator="equal">
      <formula>"A"</formula>
    </cfRule>
    <cfRule type="cellIs" dxfId="458" priority="2959" operator="equal">
      <formula>"SC"</formula>
    </cfRule>
    <cfRule type="cellIs" dxfId="457" priority="2960" operator="equal">
      <formula>"C"</formula>
    </cfRule>
    <cfRule type="cellIs" dxfId="456" priority="2961" operator="equal">
      <formula>"B"</formula>
    </cfRule>
    <cfRule type="cellIs" dxfId="454" priority="2963" operator="equal">
      <formula>"A OR B"</formula>
    </cfRule>
    <cfRule type="cellIs" dxfId="453" priority="2964" operator="equal">
      <formula>"SC"</formula>
    </cfRule>
    <cfRule type="cellIs" dxfId="452" priority="2965" operator="equal">
      <formula>"HC"</formula>
    </cfRule>
    <cfRule type="cellIs" dxfId="448" priority="2969" operator="equal">
      <formula>"A"</formula>
    </cfRule>
    <cfRule type="cellIs" dxfId="447" priority="2970" operator="equal">
      <formula>"SC"</formula>
    </cfRule>
    <cfRule type="cellIs" dxfId="446" priority="2971" operator="equal">
      <formula>"C"</formula>
    </cfRule>
    <cfRule type="cellIs" dxfId="445" priority="2972" operator="equal">
      <formula>"C4"</formula>
    </cfRule>
    <cfRule type="cellIs" dxfId="444" priority="2973" operator="equal">
      <formula>"A OR B"</formula>
    </cfRule>
    <cfRule type="cellIs" dxfId="443" priority="2974" operator="equal">
      <formula>"HC"</formula>
    </cfRule>
    <cfRule type="cellIs" dxfId="442" priority="2975" operator="equal">
      <formula>"C3"</formula>
    </cfRule>
    <cfRule type="cellIs" dxfId="441" priority="2976" operator="equal">
      <formula>"C2"</formula>
    </cfRule>
    <cfRule type="cellIs" dxfId="440" priority="2977" operator="equal">
      <formula>"C1"</formula>
    </cfRule>
    <cfRule type="cellIs" dxfId="439" priority="2978" operator="equal">
      <formula>"A OR B"</formula>
    </cfRule>
    <cfRule type="cellIs" dxfId="438" priority="2979" operator="equal">
      <formula>"HC"</formula>
    </cfRule>
    <cfRule type="cellIs" dxfId="433" priority="2984" operator="equal">
      <formula>"A OR B"</formula>
    </cfRule>
    <cfRule type="cellIs" dxfId="432" priority="2985" operator="equal">
      <formula>"HC"</formula>
    </cfRule>
    <cfRule type="cellIs" dxfId="427" priority="2990" operator="equal">
      <formula>"A OR B"</formula>
    </cfRule>
    <cfRule type="cellIs" dxfId="426" priority="2991" operator="equal">
      <formula>"SC"</formula>
    </cfRule>
    <cfRule type="cellIs" dxfId="425" priority="2992" operator="equal">
      <formula>"HC"</formula>
    </cfRule>
    <cfRule type="cellIs" dxfId="421" priority="2996" operator="equal">
      <formula>"A"</formula>
    </cfRule>
    <cfRule type="cellIs" dxfId="419" priority="2998" operator="equal">
      <formula>"A OR B"</formula>
    </cfRule>
    <cfRule type="cellIs" dxfId="418" priority="2999" operator="equal">
      <formula>"SC"</formula>
    </cfRule>
    <cfRule type="cellIs" dxfId="417" priority="3000" operator="equal">
      <formula>"HC"</formula>
    </cfRule>
    <cfRule type="cellIs" dxfId="413" priority="3004" operator="equal">
      <formula>"A"</formula>
    </cfRule>
    <cfRule type="cellIs" dxfId="411" priority="3006" operator="equal">
      <formula>"A OR B"</formula>
    </cfRule>
    <cfRule type="cellIs" dxfId="410" priority="3007" operator="equal">
      <formula>"HC"</formula>
    </cfRule>
    <cfRule type="cellIs" dxfId="406" priority="3011" operator="equal">
      <formula>"B"</formula>
    </cfRule>
    <cfRule type="cellIs" dxfId="405" priority="3012" operator="equal">
      <formula>"A"</formula>
    </cfRule>
    <cfRule type="cellIs" dxfId="403" priority="3014" operator="equal">
      <formula>"HC"</formula>
    </cfRule>
    <cfRule type="cellIs" dxfId="401" priority="1227" operator="equal">
      <formula>"C4"</formula>
    </cfRule>
    <cfRule type="cellIs" dxfId="400" priority="1226" operator="equal">
      <formula>"C"</formula>
    </cfRule>
    <cfRule type="cellIs" dxfId="399" priority="1225" operator="equal">
      <formula>"SC"</formula>
    </cfRule>
    <cfRule type="cellIs" dxfId="398" priority="1224" operator="equal">
      <formula>"A"</formula>
    </cfRule>
    <cfRule type="cellIs" dxfId="395" priority="1220" operator="equal">
      <formula>"HC"</formula>
    </cfRule>
    <cfRule type="cellIs" dxfId="394" priority="1219" operator="equal">
      <formula>"SC"</formula>
    </cfRule>
    <cfRule type="cellIs" dxfId="393" priority="1218" operator="equal">
      <formula>"A OR B"</formula>
    </cfRule>
    <cfRule type="cellIs" dxfId="391" priority="1216" operator="equal">
      <formula>"C"</formula>
    </cfRule>
    <cfRule type="cellIs" dxfId="390" priority="1215" operator="equal">
      <formula>"SC"</formula>
    </cfRule>
    <cfRule type="cellIs" dxfId="389" priority="1214" operator="equal">
      <formula>"A"</formula>
    </cfRule>
    <cfRule type="cellIs" dxfId="385" priority="1210" operator="equal">
      <formula>"HC"</formula>
    </cfRule>
    <cfRule type="cellIs" dxfId="384" priority="1209" operator="equal">
      <formula>"SC"</formula>
    </cfRule>
    <cfRule type="cellIs" dxfId="383" priority="1208" operator="equal">
      <formula>"A OR B"</formula>
    </cfRule>
    <cfRule type="cellIs" dxfId="381" priority="1205" operator="equal">
      <formula>"C"</formula>
    </cfRule>
    <cfRule type="cellIs" dxfId="380" priority="1204" operator="equal">
      <formula>"B"</formula>
    </cfRule>
    <cfRule type="cellIs" dxfId="379" priority="1203" operator="equal">
      <formula>"C1"</formula>
    </cfRule>
    <cfRule type="cellIs" dxfId="378" priority="1202" operator="equal">
      <formula>"C2"</formula>
    </cfRule>
    <cfRule type="cellIs" dxfId="377" priority="1201" operator="equal">
      <formula>"C3"</formula>
    </cfRule>
    <cfRule type="cellIs" dxfId="376" priority="1200" operator="equal">
      <formula>"HC"</formula>
    </cfRule>
    <cfRule type="cellIs" dxfId="375" priority="1199" operator="equal">
      <formula>"C4"</formula>
    </cfRule>
    <cfRule type="cellIs" dxfId="374" priority="1198" operator="equal">
      <formula>"SC"</formula>
    </cfRule>
    <cfRule type="cellIs" dxfId="373" priority="1197" operator="equal">
      <formula>"A"</formula>
    </cfRule>
    <cfRule type="cellIs" dxfId="372" priority="1228" operator="equal">
      <formula>"A OR B"</formula>
    </cfRule>
    <cfRule type="cellIs" dxfId="370" priority="2895" operator="equal">
      <formula>"SC"</formula>
    </cfRule>
    <cfRule type="cellIs" dxfId="369" priority="2896" operator="equal">
      <formula>"A"</formula>
    </cfRule>
    <cfRule type="cellIs" dxfId="368" priority="2897" operator="equal">
      <formula>"C"</formula>
    </cfRule>
    <cfRule type="cellIs" dxfId="367" priority="2898" operator="equal">
      <formula>"B"</formula>
    </cfRule>
    <cfRule type="cellIs" dxfId="366" priority="2899" operator="equal">
      <formula>"C4"</formula>
    </cfRule>
    <cfRule type="cellIs" dxfId="365" priority="2900" operator="equal">
      <formula>"HC"</formula>
    </cfRule>
    <cfRule type="cellIs" dxfId="364" priority="2901" operator="equal">
      <formula>"C3"</formula>
    </cfRule>
    <cfRule type="cellIs" dxfId="363" priority="2902" operator="equal">
      <formula>"C2"</formula>
    </cfRule>
    <cfRule type="cellIs" dxfId="362" priority="2903" operator="equal">
      <formula>"C1"</formula>
    </cfRule>
    <cfRule type="cellIs" dxfId="360" priority="2905" operator="equal">
      <formula>"A OR B"</formula>
    </cfRule>
    <cfRule type="cellIs" dxfId="359" priority="2906" operator="equal">
      <formula>"HC"</formula>
    </cfRule>
    <cfRule type="cellIs" dxfId="355" priority="2910" operator="equal">
      <formula>"C"</formula>
    </cfRule>
    <cfRule type="cellIs" dxfId="354" priority="2911" operator="equal">
      <formula>"B"</formula>
    </cfRule>
    <cfRule type="cellIs" dxfId="352" priority="2913" operator="equal">
      <formula>"A OR B"</formula>
    </cfRule>
    <cfRule type="cellIs" dxfId="351" priority="2914" operator="equal">
      <formula>"HC"</formula>
    </cfRule>
    <cfRule type="cellIs" dxfId="350" priority="2915" operator="equal">
      <formula>"SC"</formula>
    </cfRule>
    <cfRule type="cellIs" dxfId="348" priority="2917" operator="equal">
      <formula>"A OR B"</formula>
    </cfRule>
    <cfRule type="cellIs" dxfId="347" priority="2918" operator="equal">
      <formula>"SC"</formula>
    </cfRule>
    <cfRule type="cellIs" dxfId="346" priority="2919" operator="equal">
      <formula>"HC"</formula>
    </cfRule>
    <cfRule type="cellIs" dxfId="342" priority="2923" operator="equal">
      <formula>"A"</formula>
    </cfRule>
    <cfRule type="cellIs" dxfId="341" priority="2924" operator="equal">
      <formula>"SC"</formula>
    </cfRule>
    <cfRule type="cellIs" dxfId="337" priority="2928" operator="equal">
      <formula>"A"</formula>
    </cfRule>
    <cfRule type="cellIs" dxfId="336" priority="2930" operator="equal">
      <formula>"B"</formula>
    </cfRule>
    <cfRule type="cellIs" dxfId="335" priority="2934" operator="equal">
      <formula>"A OR B"</formula>
    </cfRule>
    <cfRule type="cellIs" dxfId="334" priority="2935" operator="equal">
      <formula>"B"</formula>
    </cfRule>
    <cfRule type="cellIs" dxfId="333" priority="2936" operator="equal">
      <formula>"B"</formula>
    </cfRule>
    <cfRule type="cellIs" dxfId="332" priority="2937" operator="equal">
      <formula>"B"</formula>
    </cfRule>
    <cfRule type="cellIs" dxfId="331" priority="2945" operator="equal">
      <formula>"A OR B"</formula>
    </cfRule>
    <cfRule type="cellIs" dxfId="330" priority="2946" operator="equal">
      <formula>"SC"</formula>
    </cfRule>
    <cfRule type="cellIs" dxfId="329" priority="2947" operator="equal">
      <formula>"HC"</formula>
    </cfRule>
    <cfRule type="cellIs" dxfId="327" priority="1231" operator="equal">
      <formula>"C2"</formula>
    </cfRule>
    <cfRule type="cellIs" dxfId="326" priority="1230" operator="equal">
      <formula>"C3"</formula>
    </cfRule>
    <cfRule type="cellIs" dxfId="325" priority="1229" operator="equal">
      <formula>"HC"</formula>
    </cfRule>
  </conditionalFormatting>
  <conditionalFormatting sqref="AM73:AM75 AL73">
    <cfRule type="cellIs" dxfId="324" priority="3169" operator="equal">
      <formula>"B"</formula>
    </cfRule>
  </conditionalFormatting>
  <conditionalFormatting sqref="AM74:AM75">
    <cfRule type="cellIs" dxfId="322" priority="887" operator="equal">
      <formula>"B"</formula>
    </cfRule>
    <cfRule type="cellIs" dxfId="319" priority="913" operator="equal">
      <formula>"C2"</formula>
    </cfRule>
    <cfRule type="cellIs" dxfId="317" priority="883" operator="equal">
      <formula>"HC"</formula>
    </cfRule>
    <cfRule type="cellIs" dxfId="316" priority="882" operator="equal">
      <formula>"SC"</formula>
    </cfRule>
    <cfRule type="cellIs" dxfId="314" priority="880" operator="equal">
      <formula>"C1"</formula>
    </cfRule>
    <cfRule type="cellIs" dxfId="310" priority="876" operator="equal">
      <formula>"HC"</formula>
    </cfRule>
    <cfRule type="cellIs" dxfId="309" priority="875" operator="equal">
      <formula>"SC"</formula>
    </cfRule>
    <cfRule type="cellIs" dxfId="308" priority="874" operator="equal">
      <formula>"A OR B"</formula>
    </cfRule>
    <cfRule type="cellIs" dxfId="306" priority="908" operator="equal">
      <formula>"C"</formula>
    </cfRule>
    <cfRule type="cellIs" dxfId="305" priority="912" operator="equal">
      <formula>"C3"</formula>
    </cfRule>
    <cfRule type="cellIs" dxfId="304" priority="3168" operator="equal">
      <formula>"T1"</formula>
    </cfRule>
    <cfRule type="cellIs" dxfId="303" priority="3167" operator="equal">
      <formula>"T2"</formula>
    </cfRule>
    <cfRule type="cellIs" dxfId="302" priority="860" operator="equal">
      <formula>"HC"</formula>
    </cfRule>
    <cfRule type="cellIs" dxfId="301" priority="859" operator="equal">
      <formula>"C150V"</formula>
    </cfRule>
    <cfRule type="cellIs" dxfId="300" priority="858" operator="equal">
      <formula>"B"</formula>
    </cfRule>
    <cfRule type="cellIs" dxfId="299" priority="857" operator="equal">
      <formula>"B"</formula>
    </cfRule>
    <cfRule type="cellIs" dxfId="298" priority="856" operator="equal">
      <formula>"C100V"</formula>
    </cfRule>
    <cfRule type="cellIs" dxfId="297" priority="855" operator="equal">
      <formula>"C50"</formula>
    </cfRule>
    <cfRule type="cellIs" dxfId="296" priority="854" operator="equal">
      <formula>"B"</formula>
    </cfRule>
    <cfRule type="cellIs" dxfId="295" priority="853" operator="equal">
      <formula>"C1"</formula>
    </cfRule>
    <cfRule type="cellIs" dxfId="294" priority="852" operator="equal">
      <formula>"C2"</formula>
    </cfRule>
    <cfRule type="cellIs" dxfId="293" priority="851" operator="equal">
      <formula>"C3"</formula>
    </cfRule>
    <cfRule type="cellIs" dxfId="292" priority="850" operator="equal">
      <formula>"HC"</formula>
    </cfRule>
    <cfRule type="cellIs" dxfId="291" priority="849" operator="equal">
      <formula>"A OR B"</formula>
    </cfRule>
    <cfRule type="cellIs" dxfId="290" priority="848" operator="equal">
      <formula>"C4"</formula>
    </cfRule>
    <cfRule type="cellIs" dxfId="289" priority="847" operator="equal">
      <formula>"C"</formula>
    </cfRule>
    <cfRule type="cellIs" dxfId="288" priority="846" operator="equal">
      <formula>"SC"</formula>
    </cfRule>
    <cfRule type="cellIs" dxfId="287" priority="845" operator="equal">
      <formula>"A"</formula>
    </cfRule>
    <cfRule type="cellIs" dxfId="284" priority="3172" operator="equal">
      <formula>"C100V"</formula>
    </cfRule>
    <cfRule type="cellIs" dxfId="283" priority="841" operator="equal">
      <formula>"HC"</formula>
    </cfRule>
    <cfRule type="cellIs" dxfId="282" priority="839" operator="equal">
      <formula>"A OR B"</formula>
    </cfRule>
    <cfRule type="cellIs" dxfId="280" priority="837" operator="equal">
      <formula>"B"</formula>
    </cfRule>
    <cfRule type="cellIs" dxfId="279" priority="836" operator="equal">
      <formula>"C"</formula>
    </cfRule>
    <cfRule type="cellIs" dxfId="278" priority="835" operator="equal">
      <formula>"SC"</formula>
    </cfRule>
    <cfRule type="cellIs" dxfId="277" priority="834" operator="equal">
      <formula>"A"</formula>
    </cfRule>
    <cfRule type="cellIs" dxfId="273" priority="830" operator="equal">
      <formula>"HC"</formula>
    </cfRule>
    <cfRule type="cellIs" dxfId="272" priority="829" operator="equal">
      <formula>"SC"</formula>
    </cfRule>
    <cfRule type="cellIs" dxfId="271" priority="828" operator="equal">
      <formula>"A OR B"</formula>
    </cfRule>
    <cfRule type="cellIs" dxfId="269" priority="825" operator="equal">
      <formula>"C25"</formula>
    </cfRule>
    <cfRule type="cellIs" dxfId="268" priority="824" operator="equal">
      <formula>"B"</formula>
    </cfRule>
    <cfRule type="cellIs" dxfId="264" priority="820" operator="equal">
      <formula>"HC"</formula>
    </cfRule>
    <cfRule type="cellIs" dxfId="263" priority="819" operator="equal">
      <formula>"SC"</formula>
    </cfRule>
    <cfRule type="cellIs" dxfId="261" priority="817" operator="equal">
      <formula>"T1"</formula>
    </cfRule>
    <cfRule type="cellIs" dxfId="260" priority="816" operator="equal">
      <formula>"T2"</formula>
    </cfRule>
    <cfRule type="cellIs" dxfId="259" priority="815" operator="equal">
      <formula>"T3"</formula>
    </cfRule>
    <cfRule type="cellIs" dxfId="258" priority="814" operator="equal">
      <formula>"T4"</formula>
    </cfRule>
    <cfRule type="cellIs" dxfId="257" priority="3166" operator="equal">
      <formula>"T3"</formula>
    </cfRule>
    <cfRule type="cellIs" dxfId="256" priority="3165" operator="equal">
      <formula>"T4"</formula>
    </cfRule>
    <cfRule type="cellIs" dxfId="255" priority="840" operator="equal">
      <formula>"SC"</formula>
    </cfRule>
    <cfRule type="cellIs" dxfId="254" priority="3174" operator="equal">
      <formula>"HC"</formula>
    </cfRule>
    <cfRule type="cellIs" dxfId="253" priority="628" operator="equal">
      <formula>"A"</formula>
    </cfRule>
    <cfRule type="cellIs" dxfId="252" priority="911" operator="equal">
      <formula>"HC"</formula>
    </cfRule>
    <cfRule type="cellIs" dxfId="248" priority="914" operator="equal">
      <formula>"C1"</formula>
    </cfRule>
    <cfRule type="cellIs" dxfId="247" priority="669" operator="equal">
      <formula>"HC"</formula>
    </cfRule>
    <cfRule type="cellIs" dxfId="246" priority="668" operator="equal">
      <formula>"SC"</formula>
    </cfRule>
    <cfRule type="cellIs" dxfId="245" priority="667" operator="equal">
      <formula>"A OR B"</formula>
    </cfRule>
    <cfRule type="cellIs" dxfId="244" priority="3171" operator="equal">
      <formula>"C50"</formula>
    </cfRule>
    <cfRule type="cellIs" dxfId="243" priority="3173" operator="equal">
      <formula>"C150V"</formula>
    </cfRule>
    <cfRule type="cellIs" dxfId="241" priority="664" operator="equal">
      <formula>"B"</formula>
    </cfRule>
    <cfRule type="cellIs" dxfId="240" priority="663" operator="equal">
      <formula>"C1"</formula>
    </cfRule>
    <cfRule type="cellIs" dxfId="239" priority="662" operator="equal">
      <formula>"C2"</formula>
    </cfRule>
    <cfRule type="cellIs" dxfId="238" priority="3170" operator="equal">
      <formula>"C25"</formula>
    </cfRule>
    <cfRule type="cellIs" dxfId="237" priority="661" operator="equal">
      <formula>"C3"</formula>
    </cfRule>
    <cfRule type="cellIs" dxfId="236" priority="660" operator="equal">
      <formula>"HC"</formula>
    </cfRule>
    <cfRule type="cellIs" dxfId="235" priority="659" operator="equal">
      <formula>"A OR B"</formula>
    </cfRule>
    <cfRule type="cellIs" dxfId="234" priority="658" operator="equal">
      <formula>"C4"</formula>
    </cfRule>
    <cfRule type="cellIs" dxfId="233" priority="657" operator="equal">
      <formula>"C"</formula>
    </cfRule>
    <cfRule type="cellIs" dxfId="232" priority="656" operator="equal">
      <formula>"SC"</formula>
    </cfRule>
    <cfRule type="cellIs" dxfId="231" priority="655" operator="equal">
      <formula>"A"</formula>
    </cfRule>
    <cfRule type="cellIs" dxfId="227" priority="651" operator="equal">
      <formula>"HC"</formula>
    </cfRule>
    <cfRule type="cellIs" dxfId="226" priority="650" operator="equal">
      <formula>"SC"</formula>
    </cfRule>
    <cfRule type="cellIs" dxfId="225" priority="649" operator="equal">
      <formula>"A OR B"</formula>
    </cfRule>
    <cfRule type="cellIs" dxfId="223" priority="647" operator="equal">
      <formula>"C"</formula>
    </cfRule>
    <cfRule type="cellIs" dxfId="222" priority="646" operator="equal">
      <formula>"SC"</formula>
    </cfRule>
    <cfRule type="cellIs" dxfId="221" priority="645" operator="equal">
      <formula>"A"</formula>
    </cfRule>
    <cfRule type="cellIs" dxfId="217" priority="641" operator="equal">
      <formula>"HC"</formula>
    </cfRule>
    <cfRule type="cellIs" dxfId="216" priority="640" operator="equal">
      <formula>"SC"</formula>
    </cfRule>
    <cfRule type="cellIs" dxfId="215" priority="639" operator="equal">
      <formula>"A OR B"</formula>
    </cfRule>
    <cfRule type="cellIs" dxfId="213" priority="636" operator="equal">
      <formula>"C"</formula>
    </cfRule>
    <cfRule type="cellIs" dxfId="212" priority="635" operator="equal">
      <formula>"B"</formula>
    </cfRule>
    <cfRule type="cellIs" dxfId="211" priority="634" operator="equal">
      <formula>"C1"</formula>
    </cfRule>
    <cfRule type="cellIs" dxfId="210" priority="633" operator="equal">
      <formula>"C2"</formula>
    </cfRule>
    <cfRule type="cellIs" dxfId="209" priority="632" operator="equal">
      <formula>"C3"</formula>
    </cfRule>
    <cfRule type="cellIs" dxfId="208" priority="631" operator="equal">
      <formula>"HC"</formula>
    </cfRule>
    <cfRule type="cellIs" dxfId="207" priority="630" operator="equal">
      <formula>"C4"</formula>
    </cfRule>
    <cfRule type="cellIs" dxfId="206" priority="629" operator="equal">
      <formula>"SC"</formula>
    </cfRule>
    <cfRule type="cellIs" dxfId="205" priority="910" operator="equal">
      <formula>"A OR B"</formula>
    </cfRule>
    <cfRule type="cellIs" dxfId="204" priority="909" operator="equal">
      <formula>"C4"</formula>
    </cfRule>
    <cfRule type="cellIs" dxfId="203" priority="907" operator="equal">
      <formula>"SC"</formula>
    </cfRule>
    <cfRule type="cellIs" dxfId="202" priority="906" operator="equal">
      <formula>"A"</formula>
    </cfRule>
    <cfRule type="cellIs" dxfId="198" priority="902" operator="equal">
      <formula>"HC"</formula>
    </cfRule>
    <cfRule type="cellIs" dxfId="197" priority="901" operator="equal">
      <formula>"SC"</formula>
    </cfRule>
    <cfRule type="cellIs" dxfId="196" priority="900" operator="equal">
      <formula>"A OR B"</formula>
    </cfRule>
    <cfRule type="cellIs" dxfId="194" priority="898" operator="equal">
      <formula>"B"</formula>
    </cfRule>
    <cfRule type="cellIs" dxfId="193" priority="897" operator="equal">
      <formula>"C"</formula>
    </cfRule>
    <cfRule type="cellIs" dxfId="192" priority="896" operator="equal">
      <formula>"SC"</formula>
    </cfRule>
    <cfRule type="cellIs" dxfId="191" priority="895" operator="equal">
      <formula>"A"</formula>
    </cfRule>
    <cfRule type="cellIs" dxfId="187" priority="891" operator="equal">
      <formula>"HC"</formula>
    </cfRule>
    <cfRule type="cellIs" dxfId="186" priority="890" operator="equal">
      <formula>"SC"</formula>
    </cfRule>
    <cfRule type="cellIs" dxfId="185" priority="889" operator="equal">
      <formula>"A OR B"</formula>
    </cfRule>
  </conditionalFormatting>
  <conditionalFormatting sqref="AM75">
    <cfRule type="cellIs" dxfId="182" priority="770" operator="equal">
      <formula>"C4"</formula>
    </cfRule>
    <cfRule type="cellIs" dxfId="181" priority="869" operator="equal">
      <formula>"HC"</formula>
    </cfRule>
    <cfRule type="cellIs" dxfId="180" priority="868" operator="equal">
      <formula>"A OR B"</formula>
    </cfRule>
    <cfRule type="cellIs" dxfId="176" priority="777" operator="equal">
      <formula>"HC"</formula>
    </cfRule>
    <cfRule type="cellIs" dxfId="175" priority="776" operator="equal">
      <formula>"A OR B"</formula>
    </cfRule>
    <cfRule type="cellIs" dxfId="173" priority="775" operator="equal">
      <formula>"C1"</formula>
    </cfRule>
    <cfRule type="cellIs" dxfId="172" priority="774" operator="equal">
      <formula>"C2"</formula>
    </cfRule>
    <cfRule type="cellIs" dxfId="171" priority="773" operator="equal">
      <formula>"C3"</formula>
    </cfRule>
    <cfRule type="cellIs" dxfId="170" priority="772" operator="equal">
      <formula>"HC"</formula>
    </cfRule>
    <cfRule type="cellIs" dxfId="167" priority="863" operator="equal">
      <formula>"A OR B"</formula>
    </cfRule>
    <cfRule type="cellIs" dxfId="166" priority="862" operator="equal">
      <formula>"HC"</formula>
    </cfRule>
    <cfRule type="cellIs" dxfId="163" priority="812" operator="equal">
      <formula>"HC"</formula>
    </cfRule>
    <cfRule type="cellIs" dxfId="161" priority="810" operator="equal">
      <formula>"A"</formula>
    </cfRule>
    <cfRule type="cellIs" dxfId="160" priority="809" operator="equal">
      <formula>"B"</formula>
    </cfRule>
    <cfRule type="cellIs" dxfId="156" priority="805" operator="equal">
      <formula>"HC"</formula>
    </cfRule>
    <cfRule type="cellIs" dxfId="155" priority="804" operator="equal">
      <formula>"A OR B"</formula>
    </cfRule>
    <cfRule type="cellIs" dxfId="149" priority="798" operator="equal">
      <formula>"HC"</formula>
    </cfRule>
    <cfRule type="cellIs" dxfId="148" priority="797" operator="equal">
      <formula>"SC"</formula>
    </cfRule>
    <cfRule type="cellIs" dxfId="147" priority="796" operator="equal">
      <formula>"A OR B"</formula>
    </cfRule>
    <cfRule type="cellIs" dxfId="145" priority="794" operator="equal">
      <formula>"A"</formula>
    </cfRule>
    <cfRule type="cellIs" dxfId="141" priority="790" operator="equal">
      <formula>"HC"</formula>
    </cfRule>
    <cfRule type="cellIs" dxfId="140" priority="789" operator="equal">
      <formula>"SC"</formula>
    </cfRule>
    <cfRule type="cellIs" dxfId="139" priority="788" operator="equal">
      <formula>"A OR B"</formula>
    </cfRule>
    <cfRule type="cellIs" dxfId="137" priority="771" operator="equal">
      <formula>"A OR B"</formula>
    </cfRule>
    <cfRule type="cellIs" dxfId="136" priority="769" operator="equal">
      <formula>"C"</formula>
    </cfRule>
    <cfRule type="cellIs" dxfId="135" priority="768" operator="equal">
      <formula>"SC"</formula>
    </cfRule>
    <cfRule type="cellIs" dxfId="134" priority="767" operator="equal">
      <formula>"A"</formula>
    </cfRule>
    <cfRule type="cellIs" dxfId="130" priority="763" operator="equal">
      <formula>"HC"</formula>
    </cfRule>
    <cfRule type="cellIs" dxfId="129" priority="762" operator="equal">
      <formula>"SC"</formula>
    </cfRule>
    <cfRule type="cellIs" dxfId="128" priority="761" operator="equal">
      <formula>"A OR B"</formula>
    </cfRule>
    <cfRule type="cellIs" dxfId="126" priority="759" operator="equal">
      <formula>"B"</formula>
    </cfRule>
    <cfRule type="cellIs" dxfId="125" priority="758" operator="equal">
      <formula>"C"</formula>
    </cfRule>
    <cfRule type="cellIs" dxfId="124" priority="757" operator="equal">
      <formula>"SC"</formula>
    </cfRule>
    <cfRule type="cellIs" dxfId="123" priority="756" operator="equal">
      <formula>"A"</formula>
    </cfRule>
    <cfRule type="cellIs" dxfId="119" priority="752" operator="equal">
      <formula>"HC"</formula>
    </cfRule>
    <cfRule type="cellIs" dxfId="118" priority="751" operator="equal">
      <formula>"SC"</formula>
    </cfRule>
    <cfRule type="cellIs" dxfId="117" priority="750" operator="equal">
      <formula>"A OR B"</formula>
    </cfRule>
    <cfRule type="cellIs" dxfId="112" priority="745" operator="equal">
      <formula>"HC"</formula>
    </cfRule>
    <cfRule type="cellIs" dxfId="111" priority="744" operator="equal">
      <formula>"SC"</formula>
    </cfRule>
    <cfRule type="cellIs" dxfId="110" priority="743" operator="equal">
      <formula>"A OR B"</formula>
    </cfRule>
    <cfRule type="cellIs" dxfId="109" priority="742" operator="equal">
      <formula>"B"</formula>
    </cfRule>
    <cfRule type="cellIs" dxfId="108" priority="741" operator="equal">
      <formula>"A OR B"</formula>
    </cfRule>
    <cfRule type="cellIs" dxfId="107" priority="740" operator="equal">
      <formula>"B"</formula>
    </cfRule>
    <cfRule type="cellIs" dxfId="106" priority="739" operator="equal">
      <formula>"C"</formula>
    </cfRule>
    <cfRule type="cellIs" dxfId="102" priority="735" operator="equal">
      <formula>"SC"</formula>
    </cfRule>
    <cfRule type="cellIs" dxfId="101" priority="734" operator="equal">
      <formula>"A"</formula>
    </cfRule>
    <cfRule type="cellIs" dxfId="97" priority="730" operator="equal">
      <formula>"HC"</formula>
    </cfRule>
    <cfRule type="cellIs" dxfId="96" priority="729" operator="equal">
      <formula>"SC"</formula>
    </cfRule>
    <cfRule type="cellIs" dxfId="95" priority="728" operator="equal">
      <formula>"A OR B"</formula>
    </cfRule>
    <cfRule type="cellIs" dxfId="93" priority="726" operator="equal">
      <formula>"SC"</formula>
    </cfRule>
    <cfRule type="cellIs" dxfId="92" priority="725" operator="equal">
      <formula>"HC"</formula>
    </cfRule>
    <cfRule type="cellIs" dxfId="91" priority="724" operator="equal">
      <formula>"A OR B"</formula>
    </cfRule>
    <cfRule type="cellIs" dxfId="89" priority="722" operator="equal">
      <formula>"B"</formula>
    </cfRule>
    <cfRule type="cellIs" dxfId="88" priority="721" operator="equal">
      <formula>"C"</formula>
    </cfRule>
    <cfRule type="cellIs" dxfId="84" priority="717" operator="equal">
      <formula>"HC"</formula>
    </cfRule>
    <cfRule type="cellIs" dxfId="83" priority="716" operator="equal">
      <formula>"A OR B"</formula>
    </cfRule>
    <cfRule type="cellIs" dxfId="81" priority="709" operator="equal">
      <formula>"B"</formula>
    </cfRule>
    <cfRule type="cellIs" dxfId="80" priority="708" operator="equal">
      <formula>"C"</formula>
    </cfRule>
    <cfRule type="cellIs" dxfId="76" priority="3160" operator="equal">
      <formula>"SC"</formula>
    </cfRule>
    <cfRule type="cellIs" dxfId="75" priority="3159" operator="equal">
      <formula>"A"</formula>
    </cfRule>
    <cfRule type="cellIs" dxfId="71" priority="3155" operator="equal">
      <formula>"HC"</formula>
    </cfRule>
    <cfRule type="cellIs" dxfId="70" priority="3154" operator="equal">
      <formula>"SC"</formula>
    </cfRule>
    <cfRule type="cellIs" dxfId="69" priority="3153" operator="equal">
      <formula>"A OR B"</formula>
    </cfRule>
    <cfRule type="cellIs" dxfId="67" priority="3151" operator="equal">
      <formula>"SC"</formula>
    </cfRule>
    <cfRule type="cellIs" dxfId="66" priority="3150" operator="equal">
      <formula>"HC"</formula>
    </cfRule>
    <cfRule type="cellIs" dxfId="65" priority="3149" operator="equal">
      <formula>"A OR B"</formula>
    </cfRule>
    <cfRule type="cellIs" dxfId="63" priority="3147" operator="equal">
      <formula>"B"</formula>
    </cfRule>
    <cfRule type="cellIs" dxfId="62" priority="3146" operator="equal">
      <formula>"C"</formula>
    </cfRule>
    <cfRule type="cellIs" dxfId="58" priority="3142" operator="equal">
      <formula>"HC"</formula>
    </cfRule>
    <cfRule type="cellIs" dxfId="57" priority="3141" operator="equal">
      <formula>"A OR B"</formula>
    </cfRule>
    <cfRule type="cellIs" dxfId="55" priority="3134" operator="equal">
      <formula>"B"</formula>
    </cfRule>
    <cfRule type="cellIs" dxfId="54" priority="698" operator="equal">
      <formula>"A"</formula>
    </cfRule>
    <cfRule type="cellIs" dxfId="53" priority="802" operator="equal">
      <formula>"A"</formula>
    </cfRule>
    <cfRule type="cellIs" dxfId="51" priority="704" operator="equal">
      <formula>"C2"</formula>
    </cfRule>
    <cfRule type="cellIs" dxfId="49" priority="689" operator="equal">
      <formula>"A"</formula>
    </cfRule>
    <cfRule type="cellIs" dxfId="45" priority="685" operator="equal">
      <formula>"HC"</formula>
    </cfRule>
    <cfRule type="cellIs" dxfId="44" priority="684" operator="equal">
      <formula>"SC"</formula>
    </cfRule>
    <cfRule type="cellIs" dxfId="43" priority="683" operator="equal">
      <formula>"A OR B"</formula>
    </cfRule>
    <cfRule type="cellIs" dxfId="41" priority="681" operator="equal">
      <formula>"B"</formula>
    </cfRule>
    <cfRule type="cellIs" dxfId="39" priority="680" operator="equal">
      <formula>"C1"</formula>
    </cfRule>
    <cfRule type="cellIs" dxfId="38" priority="679" operator="equal">
      <formula>"C2"</formula>
    </cfRule>
    <cfRule type="cellIs" dxfId="37" priority="678" operator="equal">
      <formula>"C3"</formula>
    </cfRule>
    <cfRule type="cellIs" dxfId="36" priority="677" operator="equal">
      <formula>"HC"</formula>
    </cfRule>
    <cfRule type="cellIs" dxfId="35" priority="676" operator="equal">
      <formula>"C4"</formula>
    </cfRule>
    <cfRule type="cellIs" dxfId="34" priority="675" operator="equal">
      <formula>"C"</formula>
    </cfRule>
    <cfRule type="cellIs" dxfId="33" priority="674" operator="equal">
      <formula>"A"</formula>
    </cfRule>
    <cfRule type="cellIs" dxfId="32" priority="673" operator="equal">
      <formula>"SC"</formula>
    </cfRule>
    <cfRule type="cellIs" dxfId="31" priority="694" operator="equal">
      <formula>"HC"</formula>
    </cfRule>
    <cfRule type="cellIs" dxfId="30" priority="703" operator="equal">
      <formula>"C3"</formula>
    </cfRule>
    <cfRule type="cellIs" dxfId="29" priority="692" operator="equal">
      <formula>"A OR B"</formula>
    </cfRule>
    <cfRule type="cellIs" dxfId="25" priority="783" operator="equal">
      <formula>"HC"</formula>
    </cfRule>
    <cfRule type="cellIs" dxfId="24" priority="782" operator="equal">
      <formula>"A OR B"</formula>
    </cfRule>
    <cfRule type="cellIs" dxfId="21" priority="705" operator="equal">
      <formula>"C1"</formula>
    </cfRule>
    <cfRule type="cellIs" dxfId="20" priority="702" operator="equal">
      <formula>"HC"</formula>
    </cfRule>
    <cfRule type="cellIs" dxfId="19" priority="701" operator="equal">
      <formula>"A OR B"</formula>
    </cfRule>
    <cfRule type="cellIs" dxfId="18" priority="700" operator="equal">
      <formula>"C4"</formula>
    </cfRule>
    <cfRule type="cellIs" dxfId="16" priority="690" operator="equal">
      <formula>"SC"</formula>
    </cfRule>
    <cfRule type="cellIs" dxfId="15" priority="699" operator="equal">
      <formula>"SC"</formula>
    </cfRule>
    <cfRule type="cellIs" dxfId="14" priority="3164" operator="equal">
      <formula>"A"</formula>
    </cfRule>
    <cfRule type="cellIs" dxfId="12" priority="693" operator="equal">
      <formula>"SC"</formula>
    </cfRule>
  </conditionalFormatting>
  <printOptions horizontalCentered="1" verticalCentered="1"/>
  <pageMargins left="0.7" right="0.7" top="0.75" bottom="0.75" header="0.3" footer="0.3"/>
  <pageSetup paperSize="8" scale="71" orientation="portrait" r:id="rId1"/>
  <headerFooter>
    <oddHeader>&amp;R&amp;G</oddHeader>
    <oddFooter>&amp;L&amp;"-,Bold"&amp;8&amp;F: &amp;A&amp;"-,Regular"
Guideline, Filing location: BIM&amp;C&amp;8Page &amp;P of &amp;N
&amp;R&amp;"-,Bold"&amp;8Rev 1.0&amp;"-,Regular"
Owner: Group Manager - Digital</oddFooter>
  </headerFooter>
  <ignoredErrors>
    <ignoredError sqref="V1" formula="1"/>
  </ignoredErrors>
  <legacyDrawingHF r:id="rId2"/>
  <extLst>
    <ext xmlns:x14="http://schemas.microsoft.com/office/spreadsheetml/2009/9/main" uri="{78C0D931-6437-407d-A8EE-F0AAD7539E65}">
      <x14:conditionalFormattings>
        <x14:conditionalFormatting xmlns:xm="http://schemas.microsoft.com/office/excel/2006/main">
          <x14:cfRule type="cellIs" priority="6764" operator="equal" id="{455D02E9-3E74-45B8-9632-7536B8C76127}">
            <xm:f>'Clash Matrix Legend'!$A$11</xm:f>
            <x14:dxf>
              <fill>
                <patternFill>
                  <bgColor theme="8" tint="-0.499984740745262"/>
                </patternFill>
              </fill>
            </x14:dxf>
          </x14:cfRule>
          <xm:sqref>C2:AM3 X2:X11 AM2:AM19 C3:AC5 Z4:AM5 C6:AM11 O8:O23 AL8:AL23 U12:AF12 AG12:AG13 AL12:AM13 C12:AC15 T13:AF13 M14:AK15 C16:AM43 AM28:AM47 X30:X73 C44:V45 X44:AM45 C46:AL47 C48:AM53 C54:Z54 AA54:AC55 D55:AM55 AM56:AM57 C56:AC63 AM60:AM64 AM66:AM71 AG67 AI67 AK67:AM69 AJ69:AM69</xm:sqref>
        </x14:conditionalFormatting>
        <x14:conditionalFormatting xmlns:xm="http://schemas.microsoft.com/office/excel/2006/main">
          <x14:cfRule type="cellIs" priority="2223" operator="equal" id="{ABF6BD45-598E-43C8-A1E7-5AA959AC78BD}">
            <xm:f>'Clash Matrix Legend'!$A$10</xm:f>
            <x14:dxf>
              <fill>
                <patternFill>
                  <bgColor theme="8" tint="-0.24994659260841701"/>
                </patternFill>
              </fill>
            </x14:dxf>
          </x14:cfRule>
          <x14:cfRule type="cellIs" priority="2217" operator="equal" id="{3D0E7B4C-6A42-439A-8A14-925EB6B5574E}">
            <xm:f>'Clash Matrix Legend'!#REF!</xm:f>
            <x14:dxf>
              <fill>
                <patternFill>
                  <bgColor theme="8" tint="0.79998168889431442"/>
                </patternFill>
              </fill>
            </x14:dxf>
          </x14:cfRule>
          <x14:cfRule type="cellIs" priority="2224" operator="equal" id="{38313A59-1273-45FB-B0BC-B24A5C7EF67E}">
            <xm:f>'Clash Matrix Legend'!$A$9</xm:f>
            <x14:dxf>
              <fill>
                <patternFill>
                  <bgColor theme="8" tint="0.59996337778862885"/>
                </patternFill>
              </fill>
            </x14:dxf>
          </x14:cfRule>
          <x14:cfRule type="cellIs" priority="2225" operator="equal" id="{A3F69D3F-0342-4728-8DE7-A5A6BBD38735}">
            <xm:f>'Clash Matrix Legend'!#REF!</xm:f>
            <x14:dxf>
              <fill>
                <patternFill>
                  <bgColor theme="8" tint="0.79998168889431442"/>
                </patternFill>
              </fill>
            </x14:dxf>
          </x14:cfRule>
          <x14:cfRule type="cellIs" priority="2234" operator="equal" id="{F814DEEB-4BB9-4A9B-8534-CA029D78C359}">
            <xm:f>'Clash Matrix Legend'!#REF!</xm:f>
            <x14:dxf>
              <fill>
                <patternFill>
                  <bgColor theme="8" tint="0.79998168889431442"/>
                </patternFill>
              </fill>
            </x14:dxf>
          </x14:cfRule>
          <x14:cfRule type="cellIs" priority="2233" operator="equal" id="{5B212794-5AF3-4332-BEEF-A2420C5EA21D}">
            <xm:f>'Clash Matrix Legend'!$A$9</xm:f>
            <x14:dxf>
              <fill>
                <patternFill>
                  <bgColor theme="8" tint="0.59996337778862885"/>
                </patternFill>
              </fill>
            </x14:dxf>
          </x14:cfRule>
          <x14:cfRule type="cellIs" priority="2232" operator="equal" id="{D7375A6F-7BF2-4D4C-8331-76DB2CDFE497}">
            <xm:f>'Clash Matrix Legend'!$A$10</xm:f>
            <x14:dxf>
              <fill>
                <patternFill>
                  <bgColor theme="8" tint="-0.24994659260841701"/>
                </patternFill>
              </fill>
            </x14:dxf>
          </x14:cfRule>
          <x14:cfRule type="cellIs" priority="2228" operator="equal" id="{5E1B5F25-C392-4CFF-BF84-28A9846D5C12}">
            <xm:f>'Clash Matrix Legend'!$A$11</xm:f>
            <x14:dxf>
              <fill>
                <patternFill>
                  <bgColor theme="8" tint="-0.499984740745262"/>
                </patternFill>
              </fill>
            </x14:dxf>
          </x14:cfRule>
          <x14:cfRule type="cellIs" priority="2204" operator="equal" id="{D902E1D3-D78D-4738-BDBC-C80CC8EDD64D}">
            <xm:f>'Clash Matrix Legend'!$A$11</xm:f>
            <x14:dxf>
              <fill>
                <patternFill>
                  <bgColor theme="8" tint="-0.499984740745262"/>
                </patternFill>
              </fill>
            </x14:dxf>
          </x14:cfRule>
          <x14:cfRule type="cellIs" priority="2207" operator="equal" id="{55F5224A-47DB-47D2-997D-F4C7E6E04283}">
            <xm:f>'Clash Matrix Legend'!$A$10</xm:f>
            <x14:dxf>
              <fill>
                <patternFill>
                  <bgColor theme="8" tint="-0.24994659260841701"/>
                </patternFill>
              </fill>
            </x14:dxf>
          </x14:cfRule>
          <x14:cfRule type="cellIs" priority="2208" operator="equal" id="{8CECDDC4-8CFC-4612-B76D-A4C6E2FFC682}">
            <xm:f>'Clash Matrix Legend'!$A$9</xm:f>
            <x14:dxf>
              <fill>
                <patternFill>
                  <bgColor theme="8" tint="0.59996337778862885"/>
                </patternFill>
              </fill>
            </x14:dxf>
          </x14:cfRule>
          <x14:cfRule type="cellIs" priority="2209" operator="equal" id="{14A021C4-6997-412E-8B02-B1639E1166BB}">
            <xm:f>'Clash Matrix Legend'!#REF!</xm:f>
            <x14:dxf>
              <fill>
                <patternFill>
                  <bgColor theme="8" tint="0.79998168889431442"/>
                </patternFill>
              </fill>
            </x14:dxf>
          </x14:cfRule>
          <x14:cfRule type="cellIs" priority="2211" operator="equal" id="{0293B5E2-B56A-42C7-8F07-F1AC3EFB027B}">
            <xm:f>'Clash Matrix Legend'!$A$11</xm:f>
            <x14:dxf>
              <fill>
                <patternFill>
                  <bgColor theme="8" tint="-0.499984740745262"/>
                </patternFill>
              </fill>
            </x14:dxf>
          </x14:cfRule>
          <x14:cfRule type="cellIs" priority="2215" operator="equal" id="{38F4D93F-7C2D-4638-8C0F-17FEBFAF8D5B}">
            <xm:f>'Clash Matrix Legend'!$A$10</xm:f>
            <x14:dxf>
              <fill>
                <patternFill>
                  <bgColor theme="8" tint="-0.24994659260841701"/>
                </patternFill>
              </fill>
            </x14:dxf>
          </x14:cfRule>
          <x14:cfRule type="cellIs" priority="2216" operator="equal" id="{298B332C-F8AE-403A-AFC6-542E59C966CA}">
            <xm:f>'Clash Matrix Legend'!$A$9</xm:f>
            <x14:dxf>
              <fill>
                <patternFill>
                  <bgColor theme="8" tint="0.59996337778862885"/>
                </patternFill>
              </fill>
            </x14:dxf>
          </x14:cfRule>
          <x14:cfRule type="cellIs" priority="2219" operator="equal" id="{572F9FE1-6E91-4A48-8722-317059F44D76}">
            <xm:f>'Clash Matrix Legend'!$A$11</xm:f>
            <x14:dxf>
              <fill>
                <patternFill>
                  <bgColor theme="8" tint="-0.499984740745262"/>
                </patternFill>
              </fill>
            </x14:dxf>
          </x14:cfRule>
          <xm:sqref>E7</xm:sqref>
        </x14:conditionalFormatting>
        <x14:conditionalFormatting xmlns:xm="http://schemas.microsoft.com/office/excel/2006/main">
          <x14:cfRule type="cellIs" priority="2259" operator="equal" id="{DCB6AEAF-0875-4EBB-ABD6-CE07190A7D07}">
            <xm:f>'Clash Matrix Legend'!#REF!</xm:f>
            <x14:dxf>
              <fill>
                <patternFill>
                  <bgColor theme="8" tint="0.79998168889431442"/>
                </patternFill>
              </fill>
            </x14:dxf>
          </x14:cfRule>
          <x14:cfRule type="cellIs" priority="2258" operator="equal" id="{0689C8A3-8D3B-49FB-9076-0D524CD259CC}">
            <xm:f>'Clash Matrix Legend'!$A$9</xm:f>
            <x14:dxf>
              <fill>
                <patternFill>
                  <bgColor theme="8" tint="0.59996337778862885"/>
                </patternFill>
              </fill>
            </x14:dxf>
          </x14:cfRule>
          <x14:cfRule type="cellIs" priority="2257" operator="equal" id="{052166E1-7491-4E2A-960B-DA0108F4FB01}">
            <xm:f>'Clash Matrix Legend'!$A$10</xm:f>
            <x14:dxf>
              <fill>
                <patternFill>
                  <bgColor theme="8" tint="-0.24994659260841701"/>
                </patternFill>
              </fill>
            </x14:dxf>
          </x14:cfRule>
          <x14:cfRule type="cellIs" priority="2243" operator="equal" id="{0FA2278C-4CFB-4264-A7F9-BAEFA3839A1F}">
            <xm:f>'Clash Matrix Legend'!#REF!</xm:f>
            <x14:dxf>
              <fill>
                <patternFill>
                  <bgColor theme="8" tint="0.79998168889431442"/>
                </patternFill>
              </fill>
            </x14:dxf>
          </x14:cfRule>
          <x14:cfRule type="cellIs" priority="2242" operator="equal" id="{5733E167-05E7-4BB3-BBD8-700878FC39BA}">
            <xm:f>'Clash Matrix Legend'!$A$9</xm:f>
            <x14:dxf>
              <fill>
                <patternFill>
                  <bgColor theme="8" tint="0.59996337778862885"/>
                </patternFill>
              </fill>
            </x14:dxf>
          </x14:cfRule>
          <x14:cfRule type="cellIs" priority="2249" operator="equal" id="{715DE9EE-37F0-44DD-9A35-CFB11696A33C}">
            <xm:f>'Clash Matrix Legend'!$A$10</xm:f>
            <x14:dxf>
              <fill>
                <patternFill>
                  <bgColor theme="8" tint="-0.24994659260841701"/>
                </patternFill>
              </fill>
            </x14:dxf>
          </x14:cfRule>
          <x14:cfRule type="cellIs" priority="2251" operator="equal" id="{4CF51015-120B-40AC-BD7B-2E9A585BF4A3}">
            <xm:f>'Clash Matrix Legend'!#REF!</xm:f>
            <x14:dxf>
              <fill>
                <patternFill>
                  <bgColor theme="8" tint="0.79998168889431442"/>
                </patternFill>
              </fill>
            </x14:dxf>
          </x14:cfRule>
          <x14:cfRule type="cellIs" priority="2253" operator="equal" id="{7D0B2E78-A76D-4AA5-A7C8-EAC18A2D34B5}">
            <xm:f>'Clash Matrix Legend'!$A$11</xm:f>
            <x14:dxf>
              <fill>
                <patternFill>
                  <bgColor theme="8" tint="-0.499984740745262"/>
                </patternFill>
              </fill>
            </x14:dxf>
          </x14:cfRule>
          <x14:cfRule type="cellIs" priority="2245" operator="equal" id="{5401AEE5-D80E-4838-A721-846FDB01D9BF}">
            <xm:f>'Clash Matrix Legend'!$A$11</xm:f>
            <x14:dxf>
              <fill>
                <patternFill>
                  <bgColor theme="8" tint="-0.499984740745262"/>
                </patternFill>
              </fill>
            </x14:dxf>
          </x14:cfRule>
          <x14:cfRule type="cellIs" priority="2250" operator="equal" id="{D1416B55-CEB8-4471-B3F4-C9E4F65FC363}">
            <xm:f>'Clash Matrix Legend'!$A$9</xm:f>
            <x14:dxf>
              <fill>
                <patternFill>
                  <bgColor theme="8" tint="0.59996337778862885"/>
                </patternFill>
              </fill>
            </x14:dxf>
          </x14:cfRule>
          <x14:cfRule type="cellIs" priority="2238" operator="equal" id="{2D3A9290-BE97-4CC5-80CB-7FD3B3F78580}">
            <xm:f>'Clash Matrix Legend'!$A$11</xm:f>
            <x14:dxf>
              <fill>
                <patternFill>
                  <bgColor theme="8" tint="-0.499984740745262"/>
                </patternFill>
              </fill>
            </x14:dxf>
          </x14:cfRule>
          <x14:cfRule type="cellIs" priority="2268" operator="equal" id="{1B49E61A-A42C-42AB-BC7D-DE9C75DDCB53}">
            <xm:f>'Clash Matrix Legend'!#REF!</xm:f>
            <x14:dxf>
              <fill>
                <patternFill>
                  <bgColor theme="8" tint="0.79998168889431442"/>
                </patternFill>
              </fill>
            </x14:dxf>
          </x14:cfRule>
          <x14:cfRule type="cellIs" priority="2267" operator="equal" id="{E646F872-AFB8-4A43-9720-49D3D8593D3C}">
            <xm:f>'Clash Matrix Legend'!$A$9</xm:f>
            <x14:dxf>
              <fill>
                <patternFill>
                  <bgColor theme="8" tint="0.59996337778862885"/>
                </patternFill>
              </fill>
            </x14:dxf>
          </x14:cfRule>
          <x14:cfRule type="cellIs" priority="2241" operator="equal" id="{B06B4458-19B2-465F-AC12-DB43CE9FB42A}">
            <xm:f>'Clash Matrix Legend'!$A$10</xm:f>
            <x14:dxf>
              <fill>
                <patternFill>
                  <bgColor theme="8" tint="-0.24994659260841701"/>
                </patternFill>
              </fill>
            </x14:dxf>
          </x14:cfRule>
          <x14:cfRule type="cellIs" priority="2262" operator="equal" id="{CA4E6340-EDFC-4894-808E-8F607A69C1F7}">
            <xm:f>'Clash Matrix Legend'!$A$11</xm:f>
            <x14:dxf>
              <fill>
                <patternFill>
                  <bgColor theme="8" tint="-0.499984740745262"/>
                </patternFill>
              </fill>
            </x14:dxf>
          </x14:cfRule>
          <x14:cfRule type="cellIs" priority="2266" operator="equal" id="{AFB07763-F5C7-477B-BAA2-C9B88E83F64C}">
            <xm:f>'Clash Matrix Legend'!$A$10</xm:f>
            <x14:dxf>
              <fill>
                <patternFill>
                  <bgColor theme="8" tint="-0.24994659260841701"/>
                </patternFill>
              </fill>
            </x14:dxf>
          </x14:cfRule>
          <xm:sqref>J7</xm:sqref>
        </x14:conditionalFormatting>
        <x14:conditionalFormatting xmlns:xm="http://schemas.microsoft.com/office/excel/2006/main">
          <x14:cfRule type="cellIs" priority="6788" operator="equal" id="{9AD6D741-7EEB-4668-9DBC-4A65423AC395}">
            <xm:f>'Clash Matrix Legend'!$A$11</xm:f>
            <x14:dxf>
              <fill>
                <patternFill>
                  <bgColor theme="8" tint="-0.499984740745262"/>
                </patternFill>
              </fill>
            </x14:dxf>
          </x14:cfRule>
          <xm:sqref>P24:R24 R28 AM44 Z48:AM48 AA50:AM50 AB52:AM52 AC54:AM54 AC54:AC55</xm:sqref>
        </x14:conditionalFormatting>
        <x14:conditionalFormatting xmlns:xm="http://schemas.microsoft.com/office/excel/2006/main">
          <x14:cfRule type="cellIs" priority="6797" operator="equal" id="{CF764629-5221-4F90-B4F1-2697A0D82F63}">
            <xm:f>'Clash Matrix Legend'!$A$11</xm:f>
            <x14:dxf>
              <fill>
                <patternFill>
                  <bgColor theme="8" tint="-0.499984740745262"/>
                </patternFill>
              </fill>
            </x14:dxf>
          </x14:cfRule>
          <xm:sqref>R30:S30</xm:sqref>
        </x14:conditionalFormatting>
        <x14:conditionalFormatting xmlns:xm="http://schemas.microsoft.com/office/excel/2006/main">
          <x14:cfRule type="cellIs" priority="2165" operator="equal" id="{D8CC4FBA-5DFA-4B17-B183-F9F480A55AB9}">
            <xm:f>'Clash Matrix Legend'!$A$11</xm:f>
            <x14:dxf>
              <fill>
                <patternFill>
                  <bgColor theme="8" tint="-0.499984740745262"/>
                </patternFill>
              </fill>
            </x14:dxf>
          </x14:cfRule>
          <xm:sqref>T36:W36</xm:sqref>
        </x14:conditionalFormatting>
        <x14:conditionalFormatting xmlns:xm="http://schemas.microsoft.com/office/excel/2006/main">
          <x14:cfRule type="cellIs" priority="2174" operator="equal" id="{D8273B92-41CB-46A9-848F-D56CD15DBDBC}">
            <xm:f>'Clash Matrix Legend'!$A$11</xm:f>
            <x14:dxf>
              <fill>
                <patternFill>
                  <bgColor theme="8" tint="-0.499984740745262"/>
                </patternFill>
              </fill>
            </x14:dxf>
          </x14:cfRule>
          <xm:sqref>T24:AK24</xm:sqref>
        </x14:conditionalFormatting>
        <x14:conditionalFormatting xmlns:xm="http://schemas.microsoft.com/office/excel/2006/main">
          <x14:cfRule type="cellIs" priority="2145" operator="equal" id="{A256946D-C9F2-4195-A14A-28ACFD80AA92}">
            <xm:f>'Clash Matrix Legend'!$A$11</xm:f>
            <x14:dxf>
              <fill>
                <patternFill>
                  <bgColor theme="8" tint="-0.499984740745262"/>
                </patternFill>
              </fill>
            </x14:dxf>
          </x14:cfRule>
          <xm:sqref>U38:W38</xm:sqref>
        </x14:conditionalFormatting>
        <x14:conditionalFormatting xmlns:xm="http://schemas.microsoft.com/office/excel/2006/main">
          <x14:cfRule type="cellIs" priority="500" operator="equal" id="{82D7C48E-C18F-4DE9-9FCB-B300940743A4}">
            <xm:f>'Clash Matrix Legend'!$A$11</xm:f>
            <x14:dxf>
              <fill>
                <patternFill>
                  <bgColor theme="8" tint="-0.499984740745262"/>
                </patternFill>
              </fill>
            </x14:dxf>
          </x14:cfRule>
          <xm:sqref>V40</xm:sqref>
        </x14:conditionalFormatting>
        <x14:conditionalFormatting xmlns:xm="http://schemas.microsoft.com/office/excel/2006/main">
          <x14:cfRule type="cellIs" priority="489" operator="equal" id="{20ECBDA9-3C28-4ED5-967F-8B7EC4C7318F}">
            <xm:f>'Clash Matrix Legend'!$A$11</xm:f>
            <x14:dxf>
              <fill>
                <patternFill>
                  <bgColor theme="8" tint="-0.499984740745262"/>
                </patternFill>
              </fill>
            </x14:dxf>
          </x14:cfRule>
          <xm:sqref>W42</xm:sqref>
        </x14:conditionalFormatting>
        <x14:conditionalFormatting xmlns:xm="http://schemas.microsoft.com/office/excel/2006/main">
          <x14:cfRule type="cellIs" priority="3186" operator="equal" id="{4553F9DB-E18B-4846-A7C5-1EC419416818}">
            <xm:f>'Clash Matrix Legend'!$A$11</xm:f>
            <x14:dxf>
              <fill>
                <patternFill>
                  <bgColor theme="8" tint="-0.499984740745262"/>
                </patternFill>
              </fill>
            </x14:dxf>
          </x14:cfRule>
          <xm:sqref>W44:W45</xm:sqref>
        </x14:conditionalFormatting>
        <x14:conditionalFormatting xmlns:xm="http://schemas.microsoft.com/office/excel/2006/main">
          <x14:cfRule type="cellIs" priority="6815" operator="equal" id="{EECB74F5-C40A-476E-9B76-8E9E3F648488}">
            <xm:f>'Clash Matrix Legend'!$A$9</xm:f>
            <x14:dxf>
              <fill>
                <patternFill>
                  <bgColor theme="8" tint="0.59996337778862885"/>
                </patternFill>
              </fill>
            </x14:dxf>
          </x14:cfRule>
          <x14:cfRule type="cellIs" priority="6816" operator="equal" id="{153E554E-B963-4F37-A958-FF19B9ADCED5}">
            <xm:f>'Clash Matrix Legend'!#REF!</xm:f>
            <x14:dxf>
              <fill>
                <patternFill>
                  <bgColor theme="8" tint="0.79998168889431442"/>
                </patternFill>
              </fill>
            </x14:dxf>
          </x14:cfRule>
          <x14:cfRule type="cellIs" priority="6814" operator="equal" id="{6831BCD3-06F9-48EA-B4FE-02F3CD2EB0BA}">
            <xm:f>'Clash Matrix Legend'!$A$10</xm:f>
            <x14:dxf>
              <fill>
                <patternFill>
                  <bgColor theme="8" tint="-0.24994659260841701"/>
                </patternFill>
              </fill>
            </x14:dxf>
          </x14:cfRule>
          <xm:sqref>X2:X11 X13:X15 X18:X23</xm:sqref>
        </x14:conditionalFormatting>
        <x14:conditionalFormatting xmlns:xm="http://schemas.microsoft.com/office/excel/2006/main">
          <x14:cfRule type="cellIs" priority="6828" operator="equal" id="{74BAFE59-7CA2-4028-92E7-BCF3DE18BB3E}">
            <xm:f>'Clash Matrix Legend'!$A$11</xm:f>
            <x14:dxf>
              <fill>
                <patternFill>
                  <bgColor theme="8" tint="-0.499984740745262"/>
                </patternFill>
              </fill>
            </x14:dxf>
          </x14:cfRule>
          <xm:sqref>X12 X16:X17 X24</xm:sqref>
        </x14:conditionalFormatting>
        <x14:conditionalFormatting xmlns:xm="http://schemas.microsoft.com/office/excel/2006/main">
          <x14:cfRule type="cellIs" priority="6833" operator="equal" id="{0CFC8DEF-18D4-462D-B05D-2D8F22838E23}">
            <xm:f>'Clash Matrix Legend'!$A$9</xm:f>
            <x14:dxf>
              <fill>
                <patternFill>
                  <bgColor theme="8" tint="0.59996337778862885"/>
                </patternFill>
              </fill>
            </x14:dxf>
          </x14:cfRule>
          <x14:cfRule type="cellIs" priority="6834" operator="equal" id="{6F17AA64-2C8F-4589-9398-59032B34F7CA}">
            <xm:f>'Clash Matrix Legend'!#REF!</xm:f>
            <x14:dxf>
              <fill>
                <patternFill>
                  <bgColor theme="8" tint="0.79998168889431442"/>
                </patternFill>
              </fill>
            </x14:dxf>
          </x14:cfRule>
          <x14:cfRule type="cellIs" priority="6832" operator="equal" id="{54983294-D060-4DC1-B6FD-2C483E37D4C6}">
            <xm:f>'Clash Matrix Legend'!$A$10</xm:f>
            <x14:dxf>
              <fill>
                <patternFill>
                  <bgColor theme="8" tint="-0.24994659260841701"/>
                </patternFill>
              </fill>
            </x14:dxf>
          </x14:cfRule>
          <xm:sqref>X12 X16:X17 X24:X27</xm:sqref>
        </x14:conditionalFormatting>
        <x14:conditionalFormatting xmlns:xm="http://schemas.microsoft.com/office/excel/2006/main">
          <x14:cfRule type="cellIs" priority="6884" operator="equal" id="{9E7BD029-B9E4-4968-9D8F-D460AE7FD71C}">
            <xm:f>'Clash Matrix Legend'!$A$11</xm:f>
            <x14:dxf>
              <fill>
                <patternFill>
                  <bgColor theme="8" tint="-0.499984740745262"/>
                </patternFill>
              </fill>
            </x14:dxf>
          </x14:cfRule>
          <xm:sqref>X25:X29</xm:sqref>
        </x14:conditionalFormatting>
        <x14:conditionalFormatting xmlns:xm="http://schemas.microsoft.com/office/excel/2006/main">
          <x14:cfRule type="cellIs" priority="6890" operator="equal" id="{02A7F94B-4BB0-40A1-8EDE-36474B0952AD}">
            <xm:f>'Clash Matrix Legend'!$A$9</xm:f>
            <x14:dxf>
              <fill>
                <patternFill>
                  <bgColor theme="8" tint="0.59996337778862885"/>
                </patternFill>
              </fill>
            </x14:dxf>
          </x14:cfRule>
          <x14:cfRule type="cellIs" priority="6889" operator="equal" id="{BE7593E7-B82B-411F-B814-AD16C7D70796}">
            <xm:f>'Clash Matrix Legend'!$A$10</xm:f>
            <x14:dxf>
              <fill>
                <patternFill>
                  <bgColor theme="8" tint="-0.24994659260841701"/>
                </patternFill>
              </fill>
            </x14:dxf>
          </x14:cfRule>
          <x14:cfRule type="cellIs" priority="6891" operator="equal" id="{5FCD5552-343E-4BAD-91C7-F0F469B281F0}">
            <xm:f>'Clash Matrix Legend'!#REF!</xm:f>
            <x14:dxf>
              <fill>
                <patternFill>
                  <bgColor theme="8" tint="0.79998168889431442"/>
                </patternFill>
              </fill>
            </x14:dxf>
          </x14:cfRule>
          <xm:sqref>X28:X29</xm:sqref>
        </x14:conditionalFormatting>
        <x14:conditionalFormatting xmlns:xm="http://schemas.microsoft.com/office/excel/2006/main">
          <x14:cfRule type="cellIs" priority="2099" operator="equal" id="{B4B337B1-6107-4A01-9D92-39D4EF8C5A4E}">
            <xm:f>'Clash Matrix Legend'!$A$11</xm:f>
            <x14:dxf>
              <fill>
                <patternFill>
                  <bgColor theme="8" tint="-0.499984740745262"/>
                </patternFill>
              </fill>
            </x14:dxf>
          </x14:cfRule>
          <xm:sqref>X44:X45</xm:sqref>
        </x14:conditionalFormatting>
        <x14:conditionalFormatting xmlns:xm="http://schemas.microsoft.com/office/excel/2006/main">
          <x14:cfRule type="cellIs" priority="2449" operator="equal" id="{A6513D5B-0EDD-40EF-9781-FBCD5E8515E8}">
            <xm:f>'Clash Matrix Legend'!$A$11</xm:f>
            <x14:dxf>
              <fill>
                <patternFill>
                  <bgColor theme="8" tint="-0.499984740745262"/>
                </patternFill>
              </fill>
            </x14:dxf>
          </x14:cfRule>
          <x14:cfRule type="cellIs" priority="2446" operator="equal" id="{FAE11423-1E95-477C-8340-EDC87AB3C1EF}">
            <xm:f>'Clash Matrix Legend'!$A$9</xm:f>
            <x14:dxf>
              <fill>
                <patternFill>
                  <bgColor theme="8" tint="0.59996337778862885"/>
                </patternFill>
              </fill>
            </x14:dxf>
          </x14:cfRule>
          <x14:cfRule type="cellIs" priority="2445" operator="equal" id="{7F6CE776-A5BD-4DF4-8AD6-F0265FB2BA18}">
            <xm:f>'Clash Matrix Legend'!$A$10</xm:f>
            <x14:dxf>
              <fill>
                <patternFill>
                  <bgColor theme="8" tint="-0.24994659260841701"/>
                </patternFill>
              </fill>
            </x14:dxf>
          </x14:cfRule>
          <x14:cfRule type="cellIs" priority="2464" operator="equal" id="{1994A77A-CAB5-4FAF-A728-058386D38D1A}">
            <xm:f>'Clash Matrix Legend'!#REF!</xm:f>
            <x14:dxf>
              <fill>
                <patternFill>
                  <bgColor theme="8" tint="0.79998168889431442"/>
                </patternFill>
              </fill>
            </x14:dxf>
          </x14:cfRule>
          <x14:cfRule type="cellIs" priority="2463" operator="equal" id="{09A93CD8-51CF-47CF-AADA-089061F488EC}">
            <xm:f>'Clash Matrix Legend'!$A$9</xm:f>
            <x14:dxf>
              <fill>
                <patternFill>
                  <bgColor theme="8" tint="0.59996337778862885"/>
                </patternFill>
              </fill>
            </x14:dxf>
          </x14:cfRule>
          <x14:cfRule type="cellIs" priority="2462" operator="equal" id="{2C689B08-9C23-447A-9D80-A100ABD12708}">
            <xm:f>'Clash Matrix Legend'!$A$10</xm:f>
            <x14:dxf>
              <fill>
                <patternFill>
                  <bgColor theme="8" tint="-0.24994659260841701"/>
                </patternFill>
              </fill>
            </x14:dxf>
          </x14:cfRule>
          <x14:cfRule type="cellIs" priority="2458" operator="equal" id="{10AB335F-124C-4F90-AB26-CBBEA21B102D}">
            <xm:f>'Clash Matrix Legend'!$A$11</xm:f>
            <x14:dxf>
              <fill>
                <patternFill>
                  <bgColor theme="8" tint="-0.499984740745262"/>
                </patternFill>
              </fill>
            </x14:dxf>
          </x14:cfRule>
          <x14:cfRule type="cellIs" priority="2455" operator="equal" id="{E45B3FCA-6E9D-48A3-9C28-62D7C47A306B}">
            <xm:f>'Clash Matrix Legend'!#REF!</xm:f>
            <x14:dxf>
              <fill>
                <patternFill>
                  <bgColor theme="8" tint="0.79998168889431442"/>
                </patternFill>
              </fill>
            </x14:dxf>
          </x14:cfRule>
          <x14:cfRule type="cellIs" priority="2454" operator="equal" id="{B506AB3E-6432-435A-BAF8-9FA87B7E8769}">
            <xm:f>'Clash Matrix Legend'!$A$9</xm:f>
            <x14:dxf>
              <fill>
                <patternFill>
                  <bgColor theme="8" tint="0.59996337778862885"/>
                </patternFill>
              </fill>
            </x14:dxf>
          </x14:cfRule>
          <x14:cfRule type="cellIs" priority="2453" operator="equal" id="{02F658EE-D413-4B73-B9D8-379CBD386057}">
            <xm:f>'Clash Matrix Legend'!$A$10</xm:f>
            <x14:dxf>
              <fill>
                <patternFill>
                  <bgColor theme="8" tint="-0.24994659260841701"/>
                </patternFill>
              </fill>
            </x14:dxf>
          </x14:cfRule>
          <x14:cfRule type="cellIs" priority="2447" operator="equal" id="{D83DC5C4-FF76-4A96-B3F8-A448E20AFD6E}">
            <xm:f>'Clash Matrix Legend'!#REF!</xm:f>
            <x14:dxf>
              <fill>
                <patternFill>
                  <bgColor theme="8" tint="0.79998168889431442"/>
                </patternFill>
              </fill>
            </x14:dxf>
          </x14:cfRule>
          <xm:sqref>Y6</xm:sqref>
        </x14:conditionalFormatting>
        <x14:conditionalFormatting xmlns:xm="http://schemas.microsoft.com/office/excel/2006/main">
          <x14:cfRule type="cellIs" priority="2475" operator="equal" id="{271056C2-9318-4143-A2DC-C0AAB19A9E42}">
            <xm:f>'Clash Matrix Legend'!$A$11</xm:f>
            <x14:dxf>
              <fill>
                <patternFill>
                  <bgColor theme="8" tint="-0.499984740745262"/>
                </patternFill>
              </fill>
            </x14:dxf>
          </x14:cfRule>
          <x14:cfRule type="cellIs" priority="2479" operator="equal" id="{9C1FFF55-C023-45DE-A3E2-9A2D8E954968}">
            <xm:f>'Clash Matrix Legend'!$A$10</xm:f>
            <x14:dxf>
              <fill>
                <patternFill>
                  <bgColor theme="8" tint="-0.24994659260841701"/>
                </patternFill>
              </fill>
            </x14:dxf>
          </x14:cfRule>
          <x14:cfRule type="cellIs" priority="2480" operator="equal" id="{B3E2BDA8-8EA9-4570-8291-13C660D9D1A6}">
            <xm:f>'Clash Matrix Legend'!$A$9</xm:f>
            <x14:dxf>
              <fill>
                <patternFill>
                  <bgColor theme="8" tint="0.59996337778862885"/>
                </patternFill>
              </fill>
            </x14:dxf>
          </x14:cfRule>
          <x14:cfRule type="cellIs" priority="2481" operator="equal" id="{2CE6C6E8-AF6E-4845-AD76-66BCC5CFC804}">
            <xm:f>'Clash Matrix Legend'!#REF!</xm:f>
            <x14:dxf>
              <fill>
                <patternFill>
                  <bgColor theme="8" tint="0.79998168889431442"/>
                </patternFill>
              </fill>
            </x14:dxf>
          </x14:cfRule>
          <x14:cfRule type="cellIs" priority="2484" operator="equal" id="{5B17027C-55A6-4DA8-BC54-F1EC943F6366}">
            <xm:f>'Clash Matrix Legend'!$A$11</xm:f>
            <x14:dxf>
              <fill>
                <patternFill>
                  <bgColor theme="8" tint="-0.499984740745262"/>
                </patternFill>
              </fill>
            </x14:dxf>
          </x14:cfRule>
          <x14:cfRule type="cellIs" priority="2437" operator="equal" id="{B4A5BAC1-42A8-4125-9AD2-A79F50BD5B2F}">
            <xm:f>'Clash Matrix Legend'!$A$11</xm:f>
            <x14:dxf>
              <fill>
                <patternFill>
                  <bgColor theme="8" tint="-0.499984740745262"/>
                </patternFill>
              </fill>
            </x14:dxf>
          </x14:cfRule>
          <x14:cfRule type="cellIs" priority="2489" operator="equal" id="{B45B9FEE-5C16-4412-9A12-7837E8F87108}">
            <xm:f>'Clash Matrix Legend'!$A$9</xm:f>
            <x14:dxf>
              <fill>
                <patternFill>
                  <bgColor theme="8" tint="0.59996337778862885"/>
                </patternFill>
              </fill>
            </x14:dxf>
          </x14:cfRule>
          <x14:cfRule type="cellIs" priority="2488" operator="equal" id="{5161C215-889C-4376-AFD7-E91F3A62C084}">
            <xm:f>'Clash Matrix Legend'!$A$10</xm:f>
            <x14:dxf>
              <fill>
                <patternFill>
                  <bgColor theme="8" tint="-0.24994659260841701"/>
                </patternFill>
              </fill>
            </x14:dxf>
          </x14:cfRule>
          <x14:cfRule type="cellIs" priority="2473" operator="equal" id="{F49306DF-C397-4448-8B46-C6C296DBB95D}">
            <xm:f>'Clash Matrix Legend'!#REF!</xm:f>
            <x14:dxf>
              <fill>
                <patternFill>
                  <bgColor theme="8" tint="0.79998168889431442"/>
                </patternFill>
              </fill>
            </x14:dxf>
          </x14:cfRule>
          <x14:cfRule type="cellIs" priority="2472" operator="equal" id="{EACF4F44-C8E8-4373-8CE8-EB985024219F}">
            <xm:f>'Clash Matrix Legend'!$A$9</xm:f>
            <x14:dxf>
              <fill>
                <patternFill>
                  <bgColor theme="8" tint="0.59996337778862885"/>
                </patternFill>
              </fill>
            </x14:dxf>
          </x14:cfRule>
          <x14:cfRule type="cellIs" priority="2467" operator="equal" id="{A8A7D128-298F-4729-A85F-136CC32717B2}">
            <xm:f>'Clash Matrix Legend'!$A$11</xm:f>
            <x14:dxf>
              <fill>
                <patternFill>
                  <bgColor theme="8" tint="-0.499984740745262"/>
                </patternFill>
              </fill>
            </x14:dxf>
          </x14:cfRule>
          <x14:cfRule type="cellIs" priority="2471" operator="equal" id="{D47FB908-451D-4CE4-BC39-7DE3BA654EB6}">
            <xm:f>'Clash Matrix Legend'!$A$10</xm:f>
            <x14:dxf>
              <fill>
                <patternFill>
                  <bgColor theme="8" tint="-0.24994659260841701"/>
                </patternFill>
              </fill>
            </x14:dxf>
          </x14:cfRule>
          <x14:cfRule type="cellIs" priority="2490" operator="equal" id="{1F5CCE7E-FAE0-4DE0-9CE3-B217C5444485}">
            <xm:f>'Clash Matrix Legend'!#REF!</xm:f>
            <x14:dxf>
              <fill>
                <patternFill>
                  <bgColor theme="8" tint="0.79998168889431442"/>
                </patternFill>
              </fill>
            </x14:dxf>
          </x14:cfRule>
          <xm:sqref>Y6:Y7</xm:sqref>
        </x14:conditionalFormatting>
        <x14:conditionalFormatting xmlns:xm="http://schemas.microsoft.com/office/excel/2006/main">
          <x14:cfRule type="cellIs" priority="2442" operator="equal" id="{6A92AB43-4778-4128-9D5C-103ABC51E7C6}">
            <xm:f>'Clash Matrix Legend'!#REF!</xm:f>
            <x14:dxf>
              <fill>
                <patternFill>
                  <bgColor theme="8" tint="0.79998168889431442"/>
                </patternFill>
              </fill>
            </x14:dxf>
          </x14:cfRule>
          <x14:cfRule type="cellIs" priority="2441" operator="equal" id="{E211DFA7-A9A7-4DE8-A813-57BD879D9E3A}">
            <xm:f>'Clash Matrix Legend'!$A$9</xm:f>
            <x14:dxf>
              <fill>
                <patternFill>
                  <bgColor theme="8" tint="0.59996337778862885"/>
                </patternFill>
              </fill>
            </x14:dxf>
          </x14:cfRule>
          <x14:cfRule type="cellIs" priority="2440" operator="equal" id="{3A35A777-8CC4-418E-9F54-8732A7C213D7}">
            <xm:f>'Clash Matrix Legend'!$A$10</xm:f>
            <x14:dxf>
              <fill>
                <patternFill>
                  <bgColor theme="8" tint="-0.24994659260841701"/>
                </patternFill>
              </fill>
            </x14:dxf>
          </x14:cfRule>
          <xm:sqref>Y7</xm:sqref>
        </x14:conditionalFormatting>
        <x14:conditionalFormatting xmlns:xm="http://schemas.microsoft.com/office/excel/2006/main">
          <x14:cfRule type="cellIs" priority="468" operator="equal" id="{24CC33A3-9E74-4861-BA18-4682E0CD742C}">
            <xm:f>'Clash Matrix Legend'!$A$11</xm:f>
            <x14:dxf>
              <fill>
                <patternFill>
                  <bgColor theme="8" tint="-0.499984740745262"/>
                </patternFill>
              </fill>
            </x14:dxf>
          </x14:cfRule>
          <xm:sqref>Y46:Y47</xm:sqref>
        </x14:conditionalFormatting>
        <x14:conditionalFormatting xmlns:xm="http://schemas.microsoft.com/office/excel/2006/main">
          <x14:cfRule type="cellIs" priority="449" operator="equal" id="{382C3AB9-C879-4ACD-A712-4AA1394415BC}">
            <xm:f>'Clash Matrix Legend'!$A$11</xm:f>
            <x14:dxf>
              <fill>
                <patternFill>
                  <bgColor theme="8" tint="-0.499984740745262"/>
                </patternFill>
              </fill>
            </x14:dxf>
          </x14:cfRule>
          <xm:sqref>Z48:Z49</xm:sqref>
        </x14:conditionalFormatting>
        <x14:conditionalFormatting xmlns:xm="http://schemas.microsoft.com/office/excel/2006/main">
          <x14:cfRule type="cellIs" priority="427" operator="equal" id="{E4C15C76-09F9-4B44-8C47-E5A7287B88DD}">
            <xm:f>'Clash Matrix Legend'!$A$11</xm:f>
            <x14:dxf>
              <fill>
                <patternFill>
                  <bgColor theme="8" tint="-0.499984740745262"/>
                </patternFill>
              </fill>
            </x14:dxf>
          </x14:cfRule>
          <xm:sqref>AA50:AA51</xm:sqref>
        </x14:conditionalFormatting>
        <x14:conditionalFormatting xmlns:xm="http://schemas.microsoft.com/office/excel/2006/main">
          <x14:cfRule type="cellIs" priority="403" operator="equal" id="{191C2090-A5F7-45DB-953B-1F34AB7FCDE4}">
            <xm:f>'Clash Matrix Legend'!$A$11</xm:f>
            <x14:dxf>
              <fill>
                <patternFill>
                  <bgColor theme="8" tint="-0.499984740745262"/>
                </patternFill>
              </fill>
            </x14:dxf>
          </x14:cfRule>
          <xm:sqref>AB52:AB53</xm:sqref>
        </x14:conditionalFormatting>
        <x14:conditionalFormatting xmlns:xm="http://schemas.microsoft.com/office/excel/2006/main">
          <x14:cfRule type="cellIs" priority="376" operator="equal" id="{C0FA198D-6CE4-424F-8256-77B5769D9243}">
            <xm:f>'Clash Matrix Legend'!$A$11</xm:f>
            <x14:dxf>
              <fill>
                <patternFill>
                  <bgColor theme="8" tint="-0.499984740745262"/>
                </patternFill>
              </fill>
            </x14:dxf>
          </x14:cfRule>
          <xm:sqref>AC54:AC55</xm:sqref>
        </x14:conditionalFormatting>
        <x14:conditionalFormatting xmlns:xm="http://schemas.microsoft.com/office/excel/2006/main">
          <x14:cfRule type="cellIs" priority="8095" operator="equal" id="{E34B00A3-AF93-4A4A-A89C-F044AE97D12E}">
            <xm:f>'Clash Matrix Legend'!$A$10</xm:f>
            <x14:dxf>
              <fill>
                <patternFill>
                  <bgColor theme="8" tint="-0.24994659260841701"/>
                </patternFill>
              </fill>
            </x14:dxf>
          </x14:cfRule>
          <x14:cfRule type="cellIs" priority="8096" operator="equal" id="{90D56565-88A7-4D06-A578-F8AF7A6105DF}">
            <xm:f>'Clash Matrix Legend'!$A$9</xm:f>
            <x14:dxf>
              <fill>
                <patternFill>
                  <bgColor theme="8" tint="0.59996337778862885"/>
                </patternFill>
              </fill>
            </x14:dxf>
          </x14:cfRule>
          <x14:cfRule type="cellIs" priority="8097" operator="equal" id="{D3EF496E-FDC3-41FB-9BA7-A725F05D8AD9}">
            <xm:f>'Clash Matrix Legend'!#REF!</xm:f>
            <x14:dxf>
              <fill>
                <patternFill>
                  <bgColor theme="8" tint="0.79998168889431442"/>
                </patternFill>
              </fill>
            </x14:dxf>
          </x14:cfRule>
          <xm:sqref>AC55 AK60:AL64 AK66:AL71 AL70:AM70</xm:sqref>
        </x14:conditionalFormatting>
        <x14:conditionalFormatting xmlns:xm="http://schemas.microsoft.com/office/excel/2006/main">
          <x14:cfRule type="cellIs" priority="6929" operator="equal" id="{AE42CE41-6F9B-46CD-AEAE-CDA194E56299}">
            <xm:f>'Clash Matrix Legend'!#REF!</xm:f>
            <x14:dxf>
              <fill>
                <patternFill>
                  <bgColor theme="8" tint="0.79998168889431442"/>
                </patternFill>
              </fill>
            </x14:dxf>
          </x14:cfRule>
          <x14:cfRule type="cellIs" priority="6928" operator="equal" id="{23639599-3A3E-4207-9E21-A1CA7BFD2FC6}">
            <xm:f>'Clash Matrix Legend'!$A$9</xm:f>
            <x14:dxf>
              <fill>
                <patternFill>
                  <bgColor theme="8" tint="0.59996337778862885"/>
                </patternFill>
              </fill>
            </x14:dxf>
          </x14:cfRule>
          <x14:cfRule type="cellIs" priority="6927" operator="equal" id="{165639B4-2F38-495B-8BEB-CC71CA04763A}">
            <xm:f>'Clash Matrix Legend'!$A$10</xm:f>
            <x14:dxf>
              <fill>
                <patternFill>
                  <bgColor theme="8" tint="-0.24994659260841701"/>
                </patternFill>
              </fill>
            </x14:dxf>
          </x14:cfRule>
          <xm:sqref>AC55:AM55</xm:sqref>
        </x14:conditionalFormatting>
        <x14:conditionalFormatting xmlns:xm="http://schemas.microsoft.com/office/excel/2006/main">
          <x14:cfRule type="cellIs" priority="6945" operator="equal" id="{5D528D61-C2AA-434A-B11F-927E3C06BE8A}">
            <xm:f>'Clash Matrix Legend'!$A$9</xm:f>
            <x14:dxf>
              <fill>
                <patternFill>
                  <bgColor theme="8" tint="0.59996337778862885"/>
                </patternFill>
              </fill>
            </x14:dxf>
          </x14:cfRule>
          <x14:cfRule type="cellIs" priority="6944" operator="equal" id="{F97A1040-9DB0-4C57-9EC0-6623B3A79355}">
            <xm:f>'Clash Matrix Legend'!$A$10</xm:f>
            <x14:dxf>
              <fill>
                <patternFill>
                  <bgColor theme="8" tint="-0.24994659260841701"/>
                </patternFill>
              </fill>
            </x14:dxf>
          </x14:cfRule>
          <x14:cfRule type="cellIs" priority="6931" operator="equal" id="{F6096CBD-BF3C-4202-8B67-27FB8D42E7B2}">
            <xm:f>'Clash Matrix Legend'!$A$11</xm:f>
            <x14:dxf>
              <fill>
                <patternFill>
                  <bgColor theme="8" tint="-0.499984740745262"/>
                </patternFill>
              </fill>
            </x14:dxf>
          </x14:cfRule>
          <x14:cfRule type="cellIs" priority="6940" operator="equal" id="{C6B82656-5E1F-469E-922F-F163403E6B09}">
            <xm:f>'Clash Matrix Legend'!$A$11</xm:f>
            <x14:dxf>
              <fill>
                <patternFill>
                  <bgColor theme="8" tint="-0.499984740745262"/>
                </patternFill>
              </fill>
            </x14:dxf>
          </x14:cfRule>
          <x14:cfRule type="cellIs" priority="6935" operator="equal" id="{F7C72422-B527-4544-925B-29FC96C10451}">
            <xm:f>'Clash Matrix Legend'!$A$10</xm:f>
            <x14:dxf>
              <fill>
                <patternFill>
                  <bgColor theme="8" tint="-0.24994659260841701"/>
                </patternFill>
              </fill>
            </x14:dxf>
          </x14:cfRule>
          <x14:cfRule type="cellIs" priority="6936" operator="equal" id="{80F8D766-7D76-4C14-B2AE-D1969F08CB0D}">
            <xm:f>'Clash Matrix Legend'!$A$9</xm:f>
            <x14:dxf>
              <fill>
                <patternFill>
                  <bgColor theme="8" tint="0.59996337778862885"/>
                </patternFill>
              </fill>
            </x14:dxf>
          </x14:cfRule>
          <x14:cfRule type="cellIs" priority="6937" operator="equal" id="{BA36A2D0-EC50-4E23-9F44-3A9A3E993C00}">
            <xm:f>'Clash Matrix Legend'!#REF!</xm:f>
            <x14:dxf>
              <fill>
                <patternFill>
                  <bgColor theme="8" tint="0.79998168889431442"/>
                </patternFill>
              </fill>
            </x14:dxf>
          </x14:cfRule>
          <x14:cfRule type="cellIs" priority="6946" operator="equal" id="{BC592E96-C1FA-4508-8554-B8802587B1C6}">
            <xm:f>'Clash Matrix Legend'!#REF!</xm:f>
            <x14:dxf>
              <fill>
                <patternFill>
                  <bgColor theme="8" tint="0.79998168889431442"/>
                </patternFill>
              </fill>
            </x14:dxf>
          </x14:cfRule>
          <xm:sqref>AD14</xm:sqref>
        </x14:conditionalFormatting>
        <x14:conditionalFormatting xmlns:xm="http://schemas.microsoft.com/office/excel/2006/main">
          <x14:cfRule type="cellIs" priority="6954" operator="equal" id="{9485F1CF-61AC-4EC7-878A-21B9156E5E29}">
            <xm:f>'Clash Matrix Legend'!$A$9</xm:f>
            <x14:dxf>
              <fill>
                <patternFill>
                  <bgColor theme="8" tint="0.59996337778862885"/>
                </patternFill>
              </fill>
            </x14:dxf>
          </x14:cfRule>
          <x14:cfRule type="cellIs" priority="6962" operator="equal" id="{FA600FBD-DECB-497E-BBD1-8CC6D28D89BB}">
            <xm:f>'Clash Matrix Legend'!#REF!</xm:f>
            <x14:dxf>
              <fill>
                <patternFill>
                  <bgColor theme="8" tint="0.79998168889431442"/>
                </patternFill>
              </fill>
            </x14:dxf>
          </x14:cfRule>
          <x14:cfRule type="cellIs" priority="6961" operator="equal" id="{E018F90A-EAC5-4A24-9C24-259F113FB4AB}">
            <xm:f>'Clash Matrix Legend'!$A$9</xm:f>
            <x14:dxf>
              <fill>
                <patternFill>
                  <bgColor theme="8" tint="0.59996337778862885"/>
                </patternFill>
              </fill>
            </x14:dxf>
          </x14:cfRule>
          <x14:cfRule type="cellIs" priority="6960" operator="equal" id="{AFB4DDD8-B45F-4045-BD3F-565DACD5C93F}">
            <xm:f>'Clash Matrix Legend'!$A$10</xm:f>
            <x14:dxf>
              <fill>
                <patternFill>
                  <bgColor theme="8" tint="-0.24994659260841701"/>
                </patternFill>
              </fill>
            </x14:dxf>
          </x14:cfRule>
          <x14:cfRule type="cellIs" priority="6949" operator="equal" id="{E048184C-A91B-43ED-864E-697D3B1CFA4B}">
            <xm:f>'Clash Matrix Legend'!$A$11</xm:f>
            <x14:dxf>
              <fill>
                <patternFill>
                  <bgColor theme="8" tint="-0.499984740745262"/>
                </patternFill>
              </fill>
            </x14:dxf>
          </x14:cfRule>
          <x14:cfRule type="cellIs" priority="6955" operator="equal" id="{9141EE4F-2858-4B18-AB9A-78825D521023}">
            <xm:f>'Clash Matrix Legend'!#REF!</xm:f>
            <x14:dxf>
              <fill>
                <patternFill>
                  <bgColor theme="8" tint="0.79998168889431442"/>
                </patternFill>
              </fill>
            </x14:dxf>
          </x14:cfRule>
          <x14:cfRule type="cellIs" priority="6953" operator="equal" id="{49275EAF-E8EA-44D0-A516-32DD79695600}">
            <xm:f>'Clash Matrix Legend'!$A$10</xm:f>
            <x14:dxf>
              <fill>
                <patternFill>
                  <bgColor theme="8" tint="-0.24994659260841701"/>
                </patternFill>
              </fill>
            </x14:dxf>
          </x14:cfRule>
          <xm:sqref>AD14:AD15</xm:sqref>
        </x14:conditionalFormatting>
        <x14:conditionalFormatting xmlns:xm="http://schemas.microsoft.com/office/excel/2006/main">
          <x14:cfRule type="cellIs" priority="6967" operator="equal" id="{A820F448-A7A4-4B24-A940-AA7A02CA72B4}">
            <xm:f>'Clash Matrix Legend'!#REF!</xm:f>
            <x14:dxf>
              <fill>
                <patternFill>
                  <bgColor theme="8" tint="0.79998168889431442"/>
                </patternFill>
              </fill>
            </x14:dxf>
          </x14:cfRule>
          <x14:cfRule type="cellIs" priority="6966" operator="equal" id="{0839C507-2865-45B2-BB04-304570491651}">
            <xm:f>'Clash Matrix Legend'!$A$9</xm:f>
            <x14:dxf>
              <fill>
                <patternFill>
                  <bgColor theme="8" tint="0.59996337778862885"/>
                </patternFill>
              </fill>
            </x14:dxf>
          </x14:cfRule>
          <x14:cfRule type="cellIs" priority="6965" operator="equal" id="{02D19A60-5405-4D7B-921D-D6A68473811E}">
            <xm:f>'Clash Matrix Legend'!$A$10</xm:f>
            <x14:dxf>
              <fill>
                <patternFill>
                  <bgColor theme="8" tint="-0.24994659260841701"/>
                </patternFill>
              </fill>
            </x14:dxf>
          </x14:cfRule>
          <x14:cfRule type="cellIs" priority="6963" operator="equal" id="{A7E6F6B1-642D-410C-9448-49671A11FE95}">
            <xm:f>'Clash Matrix Legend'!$A$11</xm:f>
            <x14:dxf>
              <fill>
                <patternFill>
                  <bgColor theme="8" tint="-0.499984740745262"/>
                </patternFill>
              </fill>
            </x14:dxf>
          </x14:cfRule>
          <xm:sqref>AD15</xm:sqref>
        </x14:conditionalFormatting>
        <x14:conditionalFormatting xmlns:xm="http://schemas.microsoft.com/office/excel/2006/main">
          <x14:cfRule type="cellIs" priority="6968" operator="equal" id="{C03EC176-0D23-437A-9F89-9E0E9904EA38}">
            <xm:f>'Clash Matrix Legend'!$A$11</xm:f>
            <x14:dxf>
              <fill>
                <patternFill>
                  <bgColor theme="8" tint="-0.499984740745262"/>
                </patternFill>
              </fill>
            </x14:dxf>
          </x14:cfRule>
          <xm:sqref>AD54:AD57 AC55 AH69</xm:sqref>
        </x14:conditionalFormatting>
        <x14:conditionalFormatting xmlns:xm="http://schemas.microsoft.com/office/excel/2006/main">
          <x14:cfRule type="cellIs" priority="6972" operator="equal" id="{93BDE115-8A03-4D80-A7B2-ECF2CD42FD0B}">
            <xm:f>'Clash Matrix Legend'!$A$10</xm:f>
            <x14:dxf>
              <fill>
                <patternFill>
                  <bgColor theme="8" tint="-0.24994659260841701"/>
                </patternFill>
              </fill>
            </x14:dxf>
          </x14:cfRule>
          <x14:cfRule type="cellIs" priority="6974" operator="equal" id="{823001CA-35B6-47F2-AEA4-09FC5216DA5F}">
            <xm:f>'Clash Matrix Legend'!#REF!</xm:f>
            <x14:dxf>
              <fill>
                <patternFill>
                  <bgColor theme="8" tint="0.79998168889431442"/>
                </patternFill>
              </fill>
            </x14:dxf>
          </x14:cfRule>
          <x14:cfRule type="cellIs" priority="6973" operator="equal" id="{C3CA8387-DAD4-4ADA-B531-DBEF1E848747}">
            <xm:f>'Clash Matrix Legend'!$A$9</xm:f>
            <x14:dxf>
              <fill>
                <patternFill>
                  <bgColor theme="8" tint="0.59996337778862885"/>
                </patternFill>
              </fill>
            </x14:dxf>
          </x14:cfRule>
          <xm:sqref>AD54:AD57 AC55 AK67:AM69 AH69 AJ69:AM69</xm:sqref>
        </x14:conditionalFormatting>
        <x14:conditionalFormatting xmlns:xm="http://schemas.microsoft.com/office/excel/2006/main">
          <x14:cfRule type="cellIs" priority="346" operator="equal" id="{AD69F578-5688-4C94-95BA-C94E919516B2}">
            <xm:f>'Clash Matrix Legend'!$A$11</xm:f>
            <x14:dxf>
              <fill>
                <patternFill>
                  <bgColor theme="8" tint="-0.499984740745262"/>
                </patternFill>
              </fill>
            </x14:dxf>
          </x14:cfRule>
          <x14:cfRule type="cellIs" priority="349" operator="equal" id="{DB17DC28-7ED9-4947-BE54-65CF2D1BA06F}">
            <xm:f>'Clash Matrix Legend'!$A$11</xm:f>
            <x14:dxf>
              <fill>
                <patternFill>
                  <bgColor theme="8" tint="-0.499984740745262"/>
                </patternFill>
              </fill>
            </x14:dxf>
          </x14:cfRule>
          <x14:cfRule type="cellIs" priority="320" operator="equal" id="{1AA5103C-A316-46F2-98B8-BAC421F526F9}">
            <xm:f>'Clash Matrix Legend'!$A$11</xm:f>
            <x14:dxf>
              <fill>
                <patternFill>
                  <bgColor theme="8" tint="-0.499984740745262"/>
                </patternFill>
              </fill>
            </x14:dxf>
          </x14:cfRule>
          <xm:sqref>AD56:AD57</xm:sqref>
        </x14:conditionalFormatting>
        <x14:conditionalFormatting xmlns:xm="http://schemas.microsoft.com/office/excel/2006/main">
          <x14:cfRule type="cellIs" priority="355" operator="equal" id="{8D59EBE6-42F5-48B5-BE71-FC843692AAAE}">
            <xm:f>'Clash Matrix Legend'!#REF!</xm:f>
            <x14:dxf>
              <fill>
                <patternFill>
                  <bgColor theme="8" tint="0.79998168889431442"/>
                </patternFill>
              </fill>
            </x14:dxf>
          </x14:cfRule>
          <x14:cfRule type="cellIs" priority="354" operator="equal" id="{3032F9A1-30EA-4207-B142-2B2AE0502CE9}">
            <xm:f>'Clash Matrix Legend'!$A$9</xm:f>
            <x14:dxf>
              <fill>
                <patternFill>
                  <bgColor theme="8" tint="0.59996337778862885"/>
                </patternFill>
              </fill>
            </x14:dxf>
          </x14:cfRule>
          <x14:cfRule type="cellIs" priority="353" operator="equal" id="{8FE3E420-9E28-4462-8A33-06176BA40529}">
            <xm:f>'Clash Matrix Legend'!$A$10</xm:f>
            <x14:dxf>
              <fill>
                <patternFill>
                  <bgColor theme="8" tint="-0.24994659260841701"/>
                </patternFill>
              </fill>
            </x14:dxf>
          </x14:cfRule>
          <x14:cfRule type="cellIs" priority="361" operator="equal" id="{6701DFBD-0D32-49FB-B8C3-24C1EB06B1C2}">
            <xm:f>'Clash Matrix Legend'!$A$9</xm:f>
            <x14:dxf>
              <fill>
                <patternFill>
                  <bgColor theme="8" tint="0.59996337778862885"/>
                </patternFill>
              </fill>
            </x14:dxf>
          </x14:cfRule>
          <x14:cfRule type="cellIs" priority="1965" operator="equal" id="{43060A3C-A38E-4071-B8FA-2D2016A9C0B4}">
            <xm:f>'Clash Matrix Legend'!#REF!</xm:f>
            <x14:dxf>
              <fill>
                <patternFill>
                  <bgColor theme="8" tint="0.79998168889431442"/>
                </patternFill>
              </fill>
            </x14:dxf>
          </x14:cfRule>
          <x14:cfRule type="cellIs" priority="1964" operator="equal" id="{95F1382A-ECB5-4DD0-82B6-238E0ED173BE}">
            <xm:f>'Clash Matrix Legend'!$A$9</xm:f>
            <x14:dxf>
              <fill>
                <patternFill>
                  <bgColor theme="8" tint="0.59996337778862885"/>
                </patternFill>
              </fill>
            </x14:dxf>
          </x14:cfRule>
          <x14:cfRule type="cellIs" priority="1963" operator="equal" id="{516B1F16-5F7E-4F6E-AE58-2418777DFCA5}">
            <xm:f>'Clash Matrix Legend'!$A$10</xm:f>
            <x14:dxf>
              <fill>
                <patternFill>
                  <bgColor theme="8" tint="-0.24994659260841701"/>
                </patternFill>
              </fill>
            </x14:dxf>
          </x14:cfRule>
          <x14:cfRule type="cellIs" priority="1959" operator="equal" id="{1175E230-CE57-4512-949C-0A744142FC7E}">
            <xm:f>'Clash Matrix Legend'!$A$11</xm:f>
            <x14:dxf>
              <fill>
                <patternFill>
                  <bgColor theme="8" tint="-0.499984740745262"/>
                </patternFill>
              </fill>
            </x14:dxf>
          </x14:cfRule>
          <x14:cfRule type="cellIs" priority="1957" operator="equal" id="{C266C8DA-A98D-4863-BF2C-2B3BF1631C29}">
            <xm:f>'Clash Matrix Legend'!#REF!</xm:f>
            <x14:dxf>
              <fill>
                <patternFill>
                  <bgColor theme="8" tint="0.79998168889431442"/>
                </patternFill>
              </fill>
            </x14:dxf>
          </x14:cfRule>
          <x14:cfRule type="cellIs" priority="1956" operator="equal" id="{D79061D6-EA02-4620-BEDD-F5A22DE563B9}">
            <xm:f>'Clash Matrix Legend'!$A$9</xm:f>
            <x14:dxf>
              <fill>
                <patternFill>
                  <bgColor theme="8" tint="0.59996337778862885"/>
                </patternFill>
              </fill>
            </x14:dxf>
          </x14:cfRule>
          <x14:cfRule type="cellIs" priority="1955" operator="equal" id="{9B1CBB7D-9130-48E2-BE70-169CDB018BEC}">
            <xm:f>'Clash Matrix Legend'!$A$10</xm:f>
            <x14:dxf>
              <fill>
                <patternFill>
                  <bgColor theme="8" tint="-0.24994659260841701"/>
                </patternFill>
              </fill>
            </x14:dxf>
          </x14:cfRule>
          <x14:cfRule type="cellIs" priority="1951" operator="equal" id="{5922A6BC-3BEB-477F-BD66-ADBB2DA846EC}">
            <xm:f>'Clash Matrix Legend'!$A$11</xm:f>
            <x14:dxf>
              <fill>
                <patternFill>
                  <bgColor theme="8" tint="-0.499984740745262"/>
                </patternFill>
              </fill>
            </x14:dxf>
          </x14:cfRule>
          <x14:cfRule type="cellIs" priority="362" operator="equal" id="{08267F68-8BE0-4309-9CEC-A71875FF127C}">
            <xm:f>'Clash Matrix Legend'!#REF!</xm:f>
            <x14:dxf>
              <fill>
                <patternFill>
                  <bgColor theme="8" tint="0.79998168889431442"/>
                </patternFill>
              </fill>
            </x14:dxf>
          </x14:cfRule>
          <x14:cfRule type="cellIs" priority="360" operator="equal" id="{114A245E-29CE-4B2D-90B8-5C29CF8E829D}">
            <xm:f>'Clash Matrix Legend'!$A$10</xm:f>
            <x14:dxf>
              <fill>
                <patternFill>
                  <bgColor theme="8" tint="-0.24994659260841701"/>
                </patternFill>
              </fill>
            </x14:dxf>
          </x14:cfRule>
          <x14:cfRule type="cellIs" priority="356" operator="equal" id="{AAAD4E46-50A6-4B05-907A-BF1239518146}">
            <xm:f>'Clash Matrix Legend'!$A$11</xm:f>
            <x14:dxf>
              <fill>
                <patternFill>
                  <bgColor theme="8" tint="-0.499984740745262"/>
                </patternFill>
              </fill>
            </x14:dxf>
          </x14:cfRule>
          <xm:sqref>AD57</xm:sqref>
        </x14:conditionalFormatting>
        <x14:conditionalFormatting xmlns:xm="http://schemas.microsoft.com/office/excel/2006/main">
          <x14:cfRule type="cellIs" priority="7000" operator="equal" id="{9A942C94-9A9B-4E28-969C-08305B1CAD35}">
            <xm:f>'Clash Matrix Legend'!$A$10</xm:f>
            <x14:dxf>
              <fill>
                <patternFill>
                  <bgColor theme="8" tint="-0.24994659260841701"/>
                </patternFill>
              </fill>
            </x14:dxf>
          </x14:cfRule>
          <x14:cfRule type="cellIs" priority="6997" operator="equal" id="{6CB5C0F1-EB34-4DD8-B7D2-42B39D46B7CC}">
            <xm:f>'Clash Matrix Legend'!$A$11</xm:f>
            <x14:dxf>
              <fill>
                <patternFill>
                  <bgColor theme="8" tint="-0.499984740745262"/>
                </patternFill>
              </fill>
            </x14:dxf>
          </x14:cfRule>
          <x14:cfRule type="cellIs" priority="7002" operator="equal" id="{B0CBC308-622F-4113-BDD9-C6B2225B9FC8}">
            <xm:f>'Clash Matrix Legend'!#REF!</xm:f>
            <x14:dxf>
              <fill>
                <patternFill>
                  <bgColor theme="8" tint="0.79998168889431442"/>
                </patternFill>
              </fill>
            </x14:dxf>
          </x14:cfRule>
          <x14:cfRule type="cellIs" priority="7001" operator="equal" id="{17736424-519F-4449-98BB-FBCA6C2D2D75}">
            <xm:f>'Clash Matrix Legend'!$A$9</xm:f>
            <x14:dxf>
              <fill>
                <patternFill>
                  <bgColor theme="8" tint="0.59996337778862885"/>
                </patternFill>
              </fill>
            </x14:dxf>
          </x14:cfRule>
          <xm:sqref>AD13:AG13</xm:sqref>
        </x14:conditionalFormatting>
        <x14:conditionalFormatting xmlns:xm="http://schemas.microsoft.com/office/excel/2006/main">
          <x14:cfRule type="cellIs" priority="7011" operator="equal" id="{19836530-03EA-47F2-B5CF-E83239AB470C}">
            <xm:f>'Clash Matrix Legend'!#REF!</xm:f>
            <x14:dxf>
              <fill>
                <patternFill>
                  <bgColor theme="8" tint="0.79998168889431442"/>
                </patternFill>
              </fill>
            </x14:dxf>
          </x14:cfRule>
          <x14:cfRule type="cellIs" priority="7010" operator="equal" id="{591331AC-8059-4A53-9E2F-808F606FCE61}">
            <xm:f>'Clash Matrix Legend'!$A$9</xm:f>
            <x14:dxf>
              <fill>
                <patternFill>
                  <bgColor theme="8" tint="0.59996337778862885"/>
                </patternFill>
              </fill>
            </x14:dxf>
          </x14:cfRule>
          <x14:cfRule type="cellIs" priority="7009" operator="equal" id="{A632A42A-F186-4619-BE76-E49B73CA8846}">
            <xm:f>'Clash Matrix Legend'!$A$10</xm:f>
            <x14:dxf>
              <fill>
                <patternFill>
                  <bgColor theme="8" tint="-0.24994659260841701"/>
                </patternFill>
              </fill>
            </x14:dxf>
          </x14:cfRule>
          <x14:cfRule type="cellIs" priority="7005" operator="equal" id="{9B06F31C-2295-4F79-9682-89763D44D938}">
            <xm:f>'Clash Matrix Legend'!$A$11</xm:f>
            <x14:dxf>
              <fill>
                <patternFill>
                  <bgColor theme="8" tint="-0.499984740745262"/>
                </patternFill>
              </fill>
            </x14:dxf>
          </x14:cfRule>
          <xm:sqref>AD54:AJ56</xm:sqref>
        </x14:conditionalFormatting>
        <x14:conditionalFormatting xmlns:xm="http://schemas.microsoft.com/office/excel/2006/main">
          <x14:cfRule type="cellIs" priority="7093" operator="equal" id="{88BE105E-D3C3-4E13-BF99-B42FBE196BD2}">
            <xm:f>'Clash Matrix Legend'!$A$10</xm:f>
            <x14:dxf>
              <fill>
                <patternFill>
                  <bgColor theme="8" tint="-0.24994659260841701"/>
                </patternFill>
              </fill>
            </x14:dxf>
          </x14:cfRule>
          <x14:cfRule type="cellIs" priority="7094" operator="equal" id="{02083555-9227-4198-8257-2EB208543902}">
            <xm:f>'Clash Matrix Legend'!$A$9</xm:f>
            <x14:dxf>
              <fill>
                <patternFill>
                  <bgColor theme="8" tint="0.59996337778862885"/>
                </patternFill>
              </fill>
            </x14:dxf>
          </x14:cfRule>
          <x14:cfRule type="cellIs" priority="7095" operator="equal" id="{6FCC8DAE-2206-459A-98A6-247E68F60048}">
            <xm:f>'Clash Matrix Legend'!#REF!</xm:f>
            <x14:dxf>
              <fill>
                <patternFill>
                  <bgColor theme="8" tint="0.79998168889431442"/>
                </patternFill>
              </fill>
            </x14:dxf>
          </x14:cfRule>
          <x14:cfRule type="cellIs" priority="7090" operator="equal" id="{9B8AF184-131F-4021-A348-DECFDAC9FF4F}">
            <xm:f>'Clash Matrix Legend'!$A$11</xm:f>
            <x14:dxf>
              <fill>
                <patternFill>
                  <bgColor theme="8" tint="-0.499984740745262"/>
                </patternFill>
              </fill>
            </x14:dxf>
          </x14:cfRule>
          <xm:sqref>AD57:AK57 AF61:AM61</xm:sqref>
        </x14:conditionalFormatting>
        <x14:conditionalFormatting xmlns:xm="http://schemas.microsoft.com/office/excel/2006/main">
          <x14:cfRule type="cellIs" priority="6957" operator="equal" id="{059D4271-7C22-488A-81EF-DDD29BA4EDB9}">
            <xm:f>'Clash Matrix Legend'!$A$11</xm:f>
            <x14:dxf>
              <fill>
                <patternFill>
                  <bgColor theme="8" tint="-0.499984740745262"/>
                </patternFill>
              </fill>
            </x14:dxf>
          </x14:cfRule>
          <xm:sqref>AD14:AM15</xm:sqref>
        </x14:conditionalFormatting>
        <x14:conditionalFormatting xmlns:xm="http://schemas.microsoft.com/office/excel/2006/main">
          <x14:cfRule type="cellIs" priority="2389" operator="equal" id="{CF709C34-B219-48D7-B99B-AB87E68CA42D}">
            <xm:f>'Clash Matrix Legend'!$A$10</xm:f>
            <x14:dxf>
              <fill>
                <patternFill>
                  <bgColor theme="8" tint="-0.24994659260841701"/>
                </patternFill>
              </fill>
            </x14:dxf>
          </x14:cfRule>
          <x14:cfRule type="cellIs" priority="2385" operator="equal" id="{C854A4F4-9C19-44BD-85EF-2E0AE10B9D76}">
            <xm:f>'Clash Matrix Legend'!$A$11</xm:f>
            <x14:dxf>
              <fill>
                <patternFill>
                  <bgColor theme="8" tint="-0.499984740745262"/>
                </patternFill>
              </fill>
            </x14:dxf>
          </x14:cfRule>
          <x14:cfRule type="cellIs" priority="2383" operator="equal" id="{162B0009-FA45-4A54-9E20-21878B8E4D4D}">
            <xm:f>'Clash Matrix Legend'!#REF!</xm:f>
            <x14:dxf>
              <fill>
                <patternFill>
                  <bgColor theme="8" tint="0.79998168889431442"/>
                </patternFill>
              </fill>
            </x14:dxf>
          </x14:cfRule>
          <x14:cfRule type="cellIs" priority="2382" operator="equal" id="{B466BA50-0452-497D-BA1C-E3D42A680D84}">
            <xm:f>'Clash Matrix Legend'!$A$9</xm:f>
            <x14:dxf>
              <fill>
                <patternFill>
                  <bgColor theme="8" tint="0.59996337778862885"/>
                </patternFill>
              </fill>
            </x14:dxf>
          </x14:cfRule>
          <x14:cfRule type="cellIs" priority="2381" operator="equal" id="{D89998B4-6AAC-48BA-B936-7BC113CE8C91}">
            <xm:f>'Clash Matrix Legend'!$A$10</xm:f>
            <x14:dxf>
              <fill>
                <patternFill>
                  <bgColor theme="8" tint="-0.24994659260841701"/>
                </patternFill>
              </fill>
            </x14:dxf>
          </x14:cfRule>
          <x14:cfRule type="cellIs" priority="2400" operator="equal" id="{1F022BC1-BBF5-4CFE-B4E4-851455197F32}">
            <xm:f>'Clash Matrix Legend'!#REF!</xm:f>
            <x14:dxf>
              <fill>
                <patternFill>
                  <bgColor theme="8" tint="0.79998168889431442"/>
                </patternFill>
              </fill>
            </x14:dxf>
          </x14:cfRule>
          <x14:cfRule type="cellIs" priority="2399" operator="equal" id="{65BA6FE8-DB42-4C1F-9D88-574F9E2522F7}">
            <xm:f>'Clash Matrix Legend'!$A$9</xm:f>
            <x14:dxf>
              <fill>
                <patternFill>
                  <bgColor theme="8" tint="0.59996337778862885"/>
                </patternFill>
              </fill>
            </x14:dxf>
          </x14:cfRule>
          <x14:cfRule type="cellIs" priority="2398" operator="equal" id="{B1406914-4900-4D4E-8B98-0B8F26E11781}">
            <xm:f>'Clash Matrix Legend'!$A$10</xm:f>
            <x14:dxf>
              <fill>
                <patternFill>
                  <bgColor theme="8" tint="-0.24994659260841701"/>
                </patternFill>
              </fill>
            </x14:dxf>
          </x14:cfRule>
          <x14:cfRule type="cellIs" priority="2394" operator="equal" id="{6652DDA5-B25D-463C-B616-0DBD4966FBBC}">
            <xm:f>'Clash Matrix Legend'!$A$11</xm:f>
            <x14:dxf>
              <fill>
                <patternFill>
                  <bgColor theme="8" tint="-0.499984740745262"/>
                </patternFill>
              </fill>
            </x14:dxf>
          </x14:cfRule>
          <x14:cfRule type="cellIs" priority="2391" operator="equal" id="{CD034D89-92E7-48BF-A266-E0758B8C7C57}">
            <xm:f>'Clash Matrix Legend'!#REF!</xm:f>
            <x14:dxf>
              <fill>
                <patternFill>
                  <bgColor theme="8" tint="0.79998168889431442"/>
                </patternFill>
              </fill>
            </x14:dxf>
          </x14:cfRule>
          <x14:cfRule type="cellIs" priority="2390" operator="equal" id="{AD028F5D-A912-4C81-A532-DC824658B0C1}">
            <xm:f>'Clash Matrix Legend'!$A$9</xm:f>
            <x14:dxf>
              <fill>
                <patternFill>
                  <bgColor theme="8" tint="0.59996337778862885"/>
                </patternFill>
              </fill>
            </x14:dxf>
          </x14:cfRule>
          <xm:sqref>AE6</xm:sqref>
        </x14:conditionalFormatting>
        <x14:conditionalFormatting xmlns:xm="http://schemas.microsoft.com/office/excel/2006/main">
          <x14:cfRule type="cellIs" priority="2407" operator="equal" id="{AC0AE1F6-AB1E-4137-BD4B-28B6F8582969}">
            <xm:f>'Clash Matrix Legend'!$A$10</xm:f>
            <x14:dxf>
              <fill>
                <patternFill>
                  <bgColor theme="8" tint="-0.24994659260841701"/>
                </patternFill>
              </fill>
            </x14:dxf>
          </x14:cfRule>
          <x14:cfRule type="cellIs" priority="2408" operator="equal" id="{15605503-1B80-48DB-AA00-E6720802E013}">
            <xm:f>'Clash Matrix Legend'!$A$9</xm:f>
            <x14:dxf>
              <fill>
                <patternFill>
                  <bgColor theme="8" tint="0.59996337778862885"/>
                </patternFill>
              </fill>
            </x14:dxf>
          </x14:cfRule>
          <x14:cfRule type="cellIs" priority="2420" operator="equal" id="{35AC349C-B844-4D54-8358-C93B5742BBA9}">
            <xm:f>'Clash Matrix Legend'!$A$11</xm:f>
            <x14:dxf>
              <fill>
                <patternFill>
                  <bgColor theme="8" tint="-0.499984740745262"/>
                </patternFill>
              </fill>
            </x14:dxf>
          </x14:cfRule>
          <x14:cfRule type="cellIs" priority="2417" operator="equal" id="{2DACDED0-2B33-4700-B5BE-68B51553C794}">
            <xm:f>'Clash Matrix Legend'!#REF!</xm:f>
            <x14:dxf>
              <fill>
                <patternFill>
                  <bgColor theme="8" tint="0.79998168889431442"/>
                </patternFill>
              </fill>
            </x14:dxf>
          </x14:cfRule>
          <x14:cfRule type="cellIs" priority="2416" operator="equal" id="{1EBE04D4-D517-4D37-A3E0-FCC187704883}">
            <xm:f>'Clash Matrix Legend'!$A$9</xm:f>
            <x14:dxf>
              <fill>
                <patternFill>
                  <bgColor theme="8" tint="0.59996337778862885"/>
                </patternFill>
              </fill>
            </x14:dxf>
          </x14:cfRule>
          <x14:cfRule type="cellIs" priority="2409" operator="equal" id="{F3061C78-7CA1-4357-BDE6-02ADD4FAB194}">
            <xm:f>'Clash Matrix Legend'!#REF!</xm:f>
            <x14:dxf>
              <fill>
                <patternFill>
                  <bgColor theme="8" tint="0.79998168889431442"/>
                </patternFill>
              </fill>
            </x14:dxf>
          </x14:cfRule>
          <x14:cfRule type="cellIs" priority="2373" operator="equal" id="{5EEBB794-1C3D-43BA-8681-02AB9079E96B}">
            <xm:f>'Clash Matrix Legend'!$A$11</xm:f>
            <x14:dxf>
              <fill>
                <patternFill>
                  <bgColor theme="8" tint="-0.499984740745262"/>
                </patternFill>
              </fill>
            </x14:dxf>
          </x14:cfRule>
          <x14:cfRule type="cellIs" priority="2411" operator="equal" id="{985DE1E8-3DA6-465C-8B2A-841F09758E3C}">
            <xm:f>'Clash Matrix Legend'!$A$11</xm:f>
            <x14:dxf>
              <fill>
                <patternFill>
                  <bgColor theme="8" tint="-0.499984740745262"/>
                </patternFill>
              </fill>
            </x14:dxf>
          </x14:cfRule>
          <x14:cfRule type="cellIs" priority="2403" operator="equal" id="{954228C1-4BFA-4BAA-B0F2-74F5C631B6DB}">
            <xm:f>'Clash Matrix Legend'!$A$11</xm:f>
            <x14:dxf>
              <fill>
                <patternFill>
                  <bgColor theme="8" tint="-0.499984740745262"/>
                </patternFill>
              </fill>
            </x14:dxf>
          </x14:cfRule>
          <x14:cfRule type="cellIs" priority="2415" operator="equal" id="{2062D49F-A273-4AD2-A3E8-C19CE3D058B3}">
            <xm:f>'Clash Matrix Legend'!$A$10</xm:f>
            <x14:dxf>
              <fill>
                <patternFill>
                  <bgColor theme="8" tint="-0.24994659260841701"/>
                </patternFill>
              </fill>
            </x14:dxf>
          </x14:cfRule>
          <x14:cfRule type="cellIs" priority="2426" operator="equal" id="{1D2D1E68-4C38-429B-BA1F-7A978948C440}">
            <xm:f>'Clash Matrix Legend'!#REF!</xm:f>
            <x14:dxf>
              <fill>
                <patternFill>
                  <bgColor theme="8" tint="0.79998168889431442"/>
                </patternFill>
              </fill>
            </x14:dxf>
          </x14:cfRule>
          <x14:cfRule type="cellIs" priority="2425" operator="equal" id="{68265760-0E04-4B3D-A8AA-B91CFD749127}">
            <xm:f>'Clash Matrix Legend'!$A$9</xm:f>
            <x14:dxf>
              <fill>
                <patternFill>
                  <bgColor theme="8" tint="0.59996337778862885"/>
                </patternFill>
              </fill>
            </x14:dxf>
          </x14:cfRule>
          <x14:cfRule type="cellIs" priority="2424" operator="equal" id="{7879AD45-ABC4-46A6-9D89-70F712751A1D}">
            <xm:f>'Clash Matrix Legend'!$A$10</xm:f>
            <x14:dxf>
              <fill>
                <patternFill>
                  <bgColor theme="8" tint="-0.24994659260841701"/>
                </patternFill>
              </fill>
            </x14:dxf>
          </x14:cfRule>
          <xm:sqref>AE6:AE7</xm:sqref>
        </x14:conditionalFormatting>
        <x14:conditionalFormatting xmlns:xm="http://schemas.microsoft.com/office/excel/2006/main">
          <x14:cfRule type="cellIs" priority="2377" operator="equal" id="{3BCD3CBE-B701-4023-ACCF-63F2D58F0D4C}">
            <xm:f>'Clash Matrix Legend'!$A$9</xm:f>
            <x14:dxf>
              <fill>
                <patternFill>
                  <bgColor theme="8" tint="0.59996337778862885"/>
                </patternFill>
              </fill>
            </x14:dxf>
          </x14:cfRule>
          <x14:cfRule type="cellIs" priority="2376" operator="equal" id="{A3FE78B9-96E0-4D9D-A022-0BDA5197DB8D}">
            <xm:f>'Clash Matrix Legend'!$A$10</xm:f>
            <x14:dxf>
              <fill>
                <patternFill>
                  <bgColor theme="8" tint="-0.24994659260841701"/>
                </patternFill>
              </fill>
            </x14:dxf>
          </x14:cfRule>
          <x14:cfRule type="cellIs" priority="2378" operator="equal" id="{532838B7-B82A-48CC-9862-B1D4C40EE1A9}">
            <xm:f>'Clash Matrix Legend'!#REF!</xm:f>
            <x14:dxf>
              <fill>
                <patternFill>
                  <bgColor theme="8" tint="0.79998168889431442"/>
                </patternFill>
              </fill>
            </x14:dxf>
          </x14:cfRule>
          <xm:sqref>AE7</xm:sqref>
        </x14:conditionalFormatting>
        <x14:conditionalFormatting xmlns:xm="http://schemas.microsoft.com/office/excel/2006/main">
          <x14:cfRule type="cellIs" priority="7018" operator="equal" id="{D264CA1D-99E3-46BE-9516-8CA2D420CF6C}">
            <xm:f>'Clash Matrix Legend'!$A$10</xm:f>
            <x14:dxf>
              <fill>
                <patternFill>
                  <bgColor theme="8" tint="-0.24994659260841701"/>
                </patternFill>
              </fill>
            </x14:dxf>
          </x14:cfRule>
          <x14:cfRule type="cellIs" priority="7019" operator="equal" id="{CFAB2BB6-DBB6-4460-A454-ECDF5DB06007}">
            <xm:f>'Clash Matrix Legend'!$A$9</xm:f>
            <x14:dxf>
              <fill>
                <patternFill>
                  <bgColor theme="8" tint="0.59996337778862885"/>
                </patternFill>
              </fill>
            </x14:dxf>
          </x14:cfRule>
          <x14:cfRule type="cellIs" priority="7020" operator="equal" id="{E9C6CFFF-F24B-4B9B-91E8-A1753BD77E5F}">
            <xm:f>'Clash Matrix Legend'!#REF!</xm:f>
            <x14:dxf>
              <fill>
                <patternFill>
                  <bgColor theme="8" tint="0.79998168889431442"/>
                </patternFill>
              </fill>
            </x14:dxf>
          </x14:cfRule>
          <xm:sqref>AE14:AE15</xm:sqref>
        </x14:conditionalFormatting>
        <x14:conditionalFormatting xmlns:xm="http://schemas.microsoft.com/office/excel/2006/main">
          <x14:cfRule type="cellIs" priority="257" operator="equal" id="{0FA7761C-1424-4827-B979-BE35B4E7D9FB}">
            <xm:f>'Clash Matrix Legend'!$A$11</xm:f>
            <x14:dxf>
              <fill>
                <patternFill>
                  <bgColor theme="8" tint="-0.499984740745262"/>
                </patternFill>
              </fill>
            </x14:dxf>
          </x14:cfRule>
          <x14:cfRule type="cellIs" priority="261" operator="equal" id="{79E6C6C8-7B49-4B3E-9206-D87D6732B195}">
            <xm:f>'Clash Matrix Legend'!$A$10</xm:f>
            <x14:dxf>
              <fill>
                <patternFill>
                  <bgColor theme="8" tint="-0.24994659260841701"/>
                </patternFill>
              </fill>
            </x14:dxf>
          </x14:cfRule>
          <x14:cfRule type="cellIs" priority="262" operator="equal" id="{2B06D827-1174-4E10-9883-BE1BEF2614B6}">
            <xm:f>'Clash Matrix Legend'!$A$9</xm:f>
            <x14:dxf>
              <fill>
                <patternFill>
                  <bgColor theme="8" tint="0.59996337778862885"/>
                </patternFill>
              </fill>
            </x14:dxf>
          </x14:cfRule>
          <x14:cfRule type="cellIs" priority="263" operator="equal" id="{F09C97FC-9726-4789-AD31-DED6FC08A1FA}">
            <xm:f>'Clash Matrix Legend'!#REF!</xm:f>
            <x14:dxf>
              <fill>
                <patternFill>
                  <bgColor theme="8" tint="0.79998168889431442"/>
                </patternFill>
              </fill>
            </x14:dxf>
          </x14:cfRule>
          <x14:cfRule type="cellIs" priority="264" operator="equal" id="{9CF3DAED-4504-4915-9B97-60EE6521ACF3}">
            <xm:f>'Clash Matrix Legend'!$A$11</xm:f>
            <x14:dxf>
              <fill>
                <patternFill>
                  <bgColor theme="8" tint="-0.499984740745262"/>
                </patternFill>
              </fill>
            </x14:dxf>
          </x14:cfRule>
          <x14:cfRule type="cellIs" priority="268" operator="equal" id="{353900EC-13B2-4718-A117-9CF9E1CCB374}">
            <xm:f>'Clash Matrix Legend'!$A$10</xm:f>
            <x14:dxf>
              <fill>
                <patternFill>
                  <bgColor theme="8" tint="-0.24994659260841701"/>
                </patternFill>
              </fill>
            </x14:dxf>
          </x14:cfRule>
          <x14:cfRule type="cellIs" priority="269" operator="equal" id="{5EB816E7-723D-48B4-B5CA-25FE6BCF795F}">
            <xm:f>'Clash Matrix Legend'!$A$9</xm:f>
            <x14:dxf>
              <fill>
                <patternFill>
                  <bgColor theme="8" tint="0.59996337778862885"/>
                </patternFill>
              </fill>
            </x14:dxf>
          </x14:cfRule>
          <x14:cfRule type="cellIs" priority="270" operator="equal" id="{61AEE60D-5D4E-44CC-8783-C7BBC2C85EE1}">
            <xm:f>'Clash Matrix Legend'!#REF!</xm:f>
            <x14:dxf>
              <fill>
                <patternFill>
                  <bgColor theme="8" tint="0.79998168889431442"/>
                </patternFill>
              </fill>
            </x14:dxf>
          </x14:cfRule>
          <x14:cfRule type="cellIs" priority="273" operator="equal" id="{68468C9D-2743-448D-B2C5-CAF208366642}">
            <xm:f>'Clash Matrix Legend'!$A$11</xm:f>
            <x14:dxf>
              <fill>
                <patternFill>
                  <bgColor theme="8" tint="-0.499984740745262"/>
                </patternFill>
              </fill>
            </x14:dxf>
          </x14:cfRule>
          <x14:cfRule type="cellIs" priority="277" operator="equal" id="{37696465-FF9B-4BF8-8744-58E809EDC482}">
            <xm:f>'Clash Matrix Legend'!$A$10</xm:f>
            <x14:dxf>
              <fill>
                <patternFill>
                  <bgColor theme="8" tint="-0.24994659260841701"/>
                </patternFill>
              </fill>
            </x14:dxf>
          </x14:cfRule>
          <x14:cfRule type="cellIs" priority="278" operator="equal" id="{86C116E0-0F3E-4B6E-A0FD-37885CBADE15}">
            <xm:f>'Clash Matrix Legend'!$A$9</xm:f>
            <x14:dxf>
              <fill>
                <patternFill>
                  <bgColor theme="8" tint="0.59996337778862885"/>
                </patternFill>
              </fill>
            </x14:dxf>
          </x14:cfRule>
          <x14:cfRule type="cellIs" priority="279" operator="equal" id="{A5E870C5-5D92-4A77-A07A-986D70B0A80C}">
            <xm:f>'Clash Matrix Legend'!#REF!</xm:f>
            <x14:dxf>
              <fill>
                <patternFill>
                  <bgColor theme="8" tint="0.79998168889431442"/>
                </patternFill>
              </fill>
            </x14:dxf>
          </x14:cfRule>
          <x14:cfRule type="cellIs" priority="281" operator="equal" id="{D43B39F2-AAF1-4BBA-B4CF-904500F01C91}">
            <xm:f>'Clash Matrix Legend'!$A$11</xm:f>
            <x14:dxf>
              <fill>
                <patternFill>
                  <bgColor theme="8" tint="-0.499984740745262"/>
                </patternFill>
              </fill>
            </x14:dxf>
          </x14:cfRule>
          <x14:cfRule type="cellIs" priority="285" operator="equal" id="{290DF3EE-2BE4-402E-A59C-05B3DC5E8025}">
            <xm:f>'Clash Matrix Legend'!$A$10</xm:f>
            <x14:dxf>
              <fill>
                <patternFill>
                  <bgColor theme="8" tint="-0.24994659260841701"/>
                </patternFill>
              </fill>
            </x14:dxf>
          </x14:cfRule>
          <x14:cfRule type="cellIs" priority="286" operator="equal" id="{C2E91EA5-D6B0-46E8-995C-1576A90903C2}">
            <xm:f>'Clash Matrix Legend'!$A$9</xm:f>
            <x14:dxf>
              <fill>
                <patternFill>
                  <bgColor theme="8" tint="0.59996337778862885"/>
                </patternFill>
              </fill>
            </x14:dxf>
          </x14:cfRule>
          <x14:cfRule type="cellIs" priority="287" operator="equal" id="{31849B4A-BC14-4281-BFDF-DDC36F014265}">
            <xm:f>'Clash Matrix Legend'!#REF!</xm:f>
            <x14:dxf>
              <fill>
                <patternFill>
                  <bgColor theme="8" tint="0.79998168889431442"/>
                </patternFill>
              </fill>
            </x14:dxf>
          </x14:cfRule>
          <x14:cfRule type="cellIs" priority="294" operator="equal" id="{4F0CE5D2-5D59-47C8-968C-EBD4CCF95C4E}">
            <xm:f>'Clash Matrix Legend'!$A$11</xm:f>
            <x14:dxf>
              <fill>
                <patternFill>
                  <bgColor theme="8" tint="-0.499984740745262"/>
                </patternFill>
              </fill>
            </x14:dxf>
          </x14:cfRule>
          <x14:cfRule type="cellIs" priority="298" operator="equal" id="{6FB58BC9-5259-4BEC-AF51-2ECB0F0A78A7}">
            <xm:f>'Clash Matrix Legend'!$A$10</xm:f>
            <x14:dxf>
              <fill>
                <patternFill>
                  <bgColor theme="8" tint="-0.24994659260841701"/>
                </patternFill>
              </fill>
            </x14:dxf>
          </x14:cfRule>
          <x14:cfRule type="cellIs" priority="299" operator="equal" id="{6EC118E8-B000-4B0D-9A0A-03B92336201B}">
            <xm:f>'Clash Matrix Legend'!$A$9</xm:f>
            <x14:dxf>
              <fill>
                <patternFill>
                  <bgColor theme="8" tint="0.59996337778862885"/>
                </patternFill>
              </fill>
            </x14:dxf>
          </x14:cfRule>
          <x14:cfRule type="cellIs" priority="300" operator="equal" id="{A386BD13-F6D9-4AE3-88E1-96CF23804B37}">
            <xm:f>'Clash Matrix Legend'!#REF!</xm:f>
            <x14:dxf>
              <fill>
                <patternFill>
                  <bgColor theme="8" tint="0.79998168889431442"/>
                </patternFill>
              </fill>
            </x14:dxf>
          </x14:cfRule>
          <x14:cfRule type="cellIs" priority="301" operator="equal" id="{C2E462C7-6B2E-46E2-8AB1-D69F19C2A0BC}">
            <xm:f>'Clash Matrix Legend'!$A$11</xm:f>
            <x14:dxf>
              <fill>
                <patternFill>
                  <bgColor theme="8" tint="-0.499984740745262"/>
                </patternFill>
              </fill>
            </x14:dxf>
          </x14:cfRule>
          <x14:cfRule type="cellIs" priority="304" operator="equal" id="{48F1150F-527A-4B27-8A88-382486DF82B0}">
            <xm:f>'Clash Matrix Legend'!$A$10</xm:f>
            <x14:dxf>
              <fill>
                <patternFill>
                  <bgColor theme="8" tint="-0.24994659260841701"/>
                </patternFill>
              </fill>
            </x14:dxf>
          </x14:cfRule>
          <x14:cfRule type="cellIs" priority="305" operator="equal" id="{26537251-55A6-46FA-ADDC-C30DDAB4F52A}">
            <xm:f>'Clash Matrix Legend'!$A$9</xm:f>
            <x14:dxf>
              <fill>
                <patternFill>
                  <bgColor theme="8" tint="0.59996337778862885"/>
                </patternFill>
              </fill>
            </x14:dxf>
          </x14:cfRule>
          <x14:cfRule type="cellIs" priority="306" operator="equal" id="{FF65665D-7AFE-4CFA-A726-4440D71EE7F6}">
            <xm:f>'Clash Matrix Legend'!#REF!</xm:f>
            <x14:dxf>
              <fill>
                <patternFill>
                  <bgColor theme="8" tint="0.79998168889431442"/>
                </patternFill>
              </fill>
            </x14:dxf>
          </x14:cfRule>
          <x14:cfRule type="cellIs" priority="1946" operator="equal" id="{96A3AD0F-8164-4E5C-A016-D6674F7231C7}">
            <xm:f>'Clash Matrix Legend'!#REF!</xm:f>
            <x14:dxf>
              <fill>
                <patternFill>
                  <bgColor theme="8" tint="0.79998168889431442"/>
                </patternFill>
              </fill>
            </x14:dxf>
          </x14:cfRule>
          <x14:cfRule type="cellIs" priority="7048" operator="equal" id="{1419CC54-67B3-4E4C-8E33-FDE42102BE14}">
            <xm:f>'Clash Matrix Legend'!#REF!</xm:f>
            <x14:dxf>
              <fill>
                <patternFill>
                  <bgColor theme="8" tint="0.79998168889431442"/>
                </patternFill>
              </fill>
            </x14:dxf>
          </x14:cfRule>
          <x14:cfRule type="cellIs" priority="7047" operator="equal" id="{50A64145-8713-4CDA-8F3E-DF3623F1B2DC}">
            <xm:f>'Clash Matrix Legend'!$A$9</xm:f>
            <x14:dxf>
              <fill>
                <patternFill>
                  <bgColor theme="8" tint="0.59996337778862885"/>
                </patternFill>
              </fill>
            </x14:dxf>
          </x14:cfRule>
          <x14:cfRule type="cellIs" priority="7046" operator="equal" id="{7946D187-6C60-45ED-91BF-47F36CAFCF0C}">
            <xm:f>'Clash Matrix Legend'!$A$10</xm:f>
            <x14:dxf>
              <fill>
                <patternFill>
                  <bgColor theme="8" tint="-0.24994659260841701"/>
                </patternFill>
              </fill>
            </x14:dxf>
          </x14:cfRule>
          <x14:cfRule type="cellIs" priority="7042" operator="equal" id="{CFB7CD4B-C03B-451E-9458-1FA4C3584CC7}">
            <xm:f>'Clash Matrix Legend'!$A$11</xm:f>
            <x14:dxf>
              <fill>
                <patternFill>
                  <bgColor theme="8" tint="-0.499984740745262"/>
                </patternFill>
              </fill>
            </x14:dxf>
          </x14:cfRule>
          <x14:cfRule type="cellIs" priority="7038" operator="equal" id="{8A2BA30B-4B88-4FCB-8984-8A63B40A6A1D}">
            <xm:f>'Clash Matrix Legend'!#REF!</xm:f>
            <x14:dxf>
              <fill>
                <patternFill>
                  <bgColor theme="8" tint="0.79998168889431442"/>
                </patternFill>
              </fill>
            </x14:dxf>
          </x14:cfRule>
          <x14:cfRule type="cellIs" priority="7037" operator="equal" id="{635E0E6A-7140-40DD-BA93-E45D674EDCD7}">
            <xm:f>'Clash Matrix Legend'!$A$9</xm:f>
            <x14:dxf>
              <fill>
                <patternFill>
                  <bgColor theme="8" tint="0.59996337778862885"/>
                </patternFill>
              </fill>
            </x14:dxf>
          </x14:cfRule>
          <x14:cfRule type="cellIs" priority="7036" operator="equal" id="{162A5296-BA3A-44AB-A6ED-4795C930FA61}">
            <xm:f>'Clash Matrix Legend'!$A$10</xm:f>
            <x14:dxf>
              <fill>
                <patternFill>
                  <bgColor theme="8" tint="-0.24994659260841701"/>
                </patternFill>
              </fill>
            </x14:dxf>
          </x14:cfRule>
          <x14:cfRule type="cellIs" priority="7032" operator="equal" id="{302C5F58-98A0-4C65-844F-FDEAC5C24E0F}">
            <xm:f>'Clash Matrix Legend'!$A$11</xm:f>
            <x14:dxf>
              <fill>
                <patternFill>
                  <bgColor theme="8" tint="-0.499984740745262"/>
                </patternFill>
              </fill>
            </x14:dxf>
          </x14:cfRule>
          <x14:cfRule type="cellIs" priority="1932" operator="equal" id="{58C609DA-6E33-4238-BE29-0C03B4B02A3D}">
            <xm:f>'Clash Matrix Legend'!$A$11</xm:f>
            <x14:dxf>
              <fill>
                <patternFill>
                  <bgColor theme="8" tint="-0.499984740745262"/>
                </patternFill>
              </fill>
            </x14:dxf>
          </x14:cfRule>
          <x14:cfRule type="cellIs" priority="1936" operator="equal" id="{780FF936-1C33-40F2-9138-D860D8C82109}">
            <xm:f>'Clash Matrix Legend'!$A$10</xm:f>
            <x14:dxf>
              <fill>
                <patternFill>
                  <bgColor theme="8" tint="-0.24994659260841701"/>
                </patternFill>
              </fill>
            </x14:dxf>
          </x14:cfRule>
          <x14:cfRule type="cellIs" priority="1937" operator="equal" id="{91C2770D-5852-4B7C-9DA5-BC124BB1480E}">
            <xm:f>'Clash Matrix Legend'!$A$9</xm:f>
            <x14:dxf>
              <fill>
                <patternFill>
                  <bgColor theme="8" tint="0.59996337778862885"/>
                </patternFill>
              </fill>
            </x14:dxf>
          </x14:cfRule>
          <x14:cfRule type="cellIs" priority="1938" operator="equal" id="{2CB17A4A-D975-4823-8052-D1469C7566BC}">
            <xm:f>'Clash Matrix Legend'!#REF!</xm:f>
            <x14:dxf>
              <fill>
                <patternFill>
                  <bgColor theme="8" tint="0.79998168889431442"/>
                </patternFill>
              </fill>
            </x14:dxf>
          </x14:cfRule>
          <x14:cfRule type="cellIs" priority="1940" operator="equal" id="{708C0D2D-B219-4A1A-830E-EDEC68C0B334}">
            <xm:f>'Clash Matrix Legend'!$A$11</xm:f>
            <x14:dxf>
              <fill>
                <patternFill>
                  <bgColor theme="8" tint="-0.499984740745262"/>
                </patternFill>
              </fill>
            </x14:dxf>
          </x14:cfRule>
          <x14:cfRule type="cellIs" priority="1944" operator="equal" id="{E2391FA0-C271-4F81-890B-76D2C11D71E7}">
            <xm:f>'Clash Matrix Legend'!$A$10</xm:f>
            <x14:dxf>
              <fill>
                <patternFill>
                  <bgColor theme="8" tint="-0.24994659260841701"/>
                </patternFill>
              </fill>
            </x14:dxf>
          </x14:cfRule>
          <x14:cfRule type="cellIs" priority="1945" operator="equal" id="{620457E9-3644-4C0C-9975-5128A07674EC}">
            <xm:f>'Clash Matrix Legend'!$A$9</xm:f>
            <x14:dxf>
              <fill>
                <patternFill>
                  <bgColor theme="8" tint="0.59996337778862885"/>
                </patternFill>
              </fill>
            </x14:dxf>
          </x14:cfRule>
          <x14:cfRule type="cellIs" priority="228" operator="equal" id="{81210A0C-0839-4B35-95C7-F4D16F8E92D0}">
            <xm:f>'Clash Matrix Legend'!$A$11</xm:f>
            <x14:dxf>
              <fill>
                <patternFill>
                  <bgColor theme="8" tint="-0.499984740745262"/>
                </patternFill>
              </fill>
            </x14:dxf>
          </x14:cfRule>
          <x14:cfRule type="cellIs" priority="254" operator="equal" id="{A8D44884-B3CE-4750-A54E-9F2A37FFF544}">
            <xm:f>'Clash Matrix Legend'!$A$11</xm:f>
            <x14:dxf>
              <fill>
                <patternFill>
                  <bgColor theme="8" tint="-0.499984740745262"/>
                </patternFill>
              </fill>
            </x14:dxf>
          </x14:cfRule>
          <xm:sqref>AE58:AE59</xm:sqref>
        </x14:conditionalFormatting>
        <x14:conditionalFormatting xmlns:xm="http://schemas.microsoft.com/office/excel/2006/main">
          <x14:cfRule type="cellIs" priority="7061" operator="equal" id="{DC4C47AE-EEF5-41B4-9EEF-4FBDE905FA0F}">
            <xm:f>'Clash Matrix Legend'!$A$9</xm:f>
            <x14:dxf>
              <fill>
                <patternFill>
                  <bgColor theme="8" tint="0.59996337778862885"/>
                </patternFill>
              </fill>
            </x14:dxf>
          </x14:cfRule>
          <x14:cfRule type="cellIs" priority="7060" operator="equal" id="{81769F45-7AC8-4BEA-A58F-531BACCB6CAB}">
            <xm:f>'Clash Matrix Legend'!$A$10</xm:f>
            <x14:dxf>
              <fill>
                <patternFill>
                  <bgColor theme="8" tint="-0.24994659260841701"/>
                </patternFill>
              </fill>
            </x14:dxf>
          </x14:cfRule>
          <x14:cfRule type="cellIs" priority="7057" operator="equal" id="{844674B3-375A-4547-9BA9-B0DFFFC8F0B2}">
            <xm:f>'Clash Matrix Legend'!$A$11</xm:f>
            <x14:dxf>
              <fill>
                <patternFill>
                  <bgColor theme="8" tint="-0.499984740745262"/>
                </patternFill>
              </fill>
            </x14:dxf>
          </x14:cfRule>
          <x14:cfRule type="cellIs" priority="7062" operator="equal" id="{A1BA5BC5-E23E-43F5-A726-648E9EFED07B}">
            <xm:f>'Clash Matrix Legend'!#REF!</xm:f>
            <x14:dxf>
              <fill>
                <patternFill>
                  <bgColor theme="8" tint="0.79998168889431442"/>
                </patternFill>
              </fill>
            </x14:dxf>
          </x14:cfRule>
          <xm:sqref>AE67 AF69</xm:sqref>
        </x14:conditionalFormatting>
        <x14:conditionalFormatting xmlns:xm="http://schemas.microsoft.com/office/excel/2006/main">
          <x14:cfRule type="cellIs" priority="7084" operator="equal" id="{1676329A-BBA0-4EB7-8518-7ED5B161B026}">
            <xm:f>'Clash Matrix Legend'!$A$10</xm:f>
            <x14:dxf>
              <fill>
                <patternFill>
                  <bgColor theme="8" tint="-0.24994659260841701"/>
                </patternFill>
              </fill>
            </x14:dxf>
          </x14:cfRule>
          <x14:cfRule type="cellIs" priority="7086" operator="equal" id="{4372C920-E519-48FC-A538-7C4004469113}">
            <xm:f>'Clash Matrix Legend'!#REF!</xm:f>
            <x14:dxf>
              <fill>
                <patternFill>
                  <bgColor theme="8" tint="0.79998168889431442"/>
                </patternFill>
              </fill>
            </x14:dxf>
          </x14:cfRule>
          <x14:cfRule type="cellIs" priority="7072" operator="equal" id="{8020F124-4655-465F-9376-4E4A0C6FDE3F}">
            <xm:f>'Clash Matrix Legend'!$A$11</xm:f>
            <x14:dxf>
              <fill>
                <patternFill>
                  <bgColor theme="8" tint="-0.499984740745262"/>
                </patternFill>
              </fill>
            </x14:dxf>
          </x14:cfRule>
          <x14:cfRule type="cellIs" priority="7085" operator="equal" id="{C3CB8BFB-D9E3-4D8C-A571-D28DD1B221A7}">
            <xm:f>'Clash Matrix Legend'!$A$9</xm:f>
            <x14:dxf>
              <fill>
                <patternFill>
                  <bgColor theme="8" tint="0.59996337778862885"/>
                </patternFill>
              </fill>
            </x14:dxf>
          </x14:cfRule>
          <x14:cfRule type="cellIs" priority="7076" operator="equal" id="{E1A92061-A156-4C31-BB01-881D9021779B}">
            <xm:f>'Clash Matrix Legend'!$A$10</xm:f>
            <x14:dxf>
              <fill>
                <patternFill>
                  <bgColor theme="8" tint="-0.24994659260841701"/>
                </patternFill>
              </fill>
            </x14:dxf>
          </x14:cfRule>
          <x14:cfRule type="cellIs" priority="7077" operator="equal" id="{AFA2CC97-9831-4DBB-842A-BD4A03436BAE}">
            <xm:f>'Clash Matrix Legend'!$A$9</xm:f>
            <x14:dxf>
              <fill>
                <patternFill>
                  <bgColor theme="8" tint="0.59996337778862885"/>
                </patternFill>
              </fill>
            </x14:dxf>
          </x14:cfRule>
          <x14:cfRule type="cellIs" priority="7078" operator="equal" id="{D3E878CF-06BB-4994-B7B9-EF5B71B3219F}">
            <xm:f>'Clash Matrix Legend'!#REF!</xm:f>
            <x14:dxf>
              <fill>
                <patternFill>
                  <bgColor theme="8" tint="0.79998168889431442"/>
                </patternFill>
              </fill>
            </x14:dxf>
          </x14:cfRule>
          <x14:cfRule type="cellIs" priority="7080" operator="equal" id="{C5989AB4-7771-463C-809D-EF7B90E22114}">
            <xm:f>'Clash Matrix Legend'!$A$11</xm:f>
            <x14:dxf>
              <fill>
                <patternFill>
                  <bgColor theme="8" tint="-0.499984740745262"/>
                </patternFill>
              </fill>
            </x14:dxf>
          </x14:cfRule>
          <xm:sqref>AE56:AJ57 AG60:AJ61</xm:sqref>
        </x14:conditionalFormatting>
        <x14:conditionalFormatting xmlns:xm="http://schemas.microsoft.com/office/excel/2006/main">
          <x14:cfRule type="cellIs" priority="7028" operator="equal" id="{6B560CE8-DBA1-4FAD-A9D3-8D6FD9462209}">
            <xm:f>'Clash Matrix Legend'!#REF!</xm:f>
            <x14:dxf>
              <fill>
                <patternFill>
                  <bgColor theme="8" tint="0.79998168889431442"/>
                </patternFill>
              </fill>
            </x14:dxf>
          </x14:cfRule>
          <x14:cfRule type="cellIs" priority="7027" operator="equal" id="{77EA4626-22C5-47D7-8ADA-30FFB8608495}">
            <xm:f>'Clash Matrix Legend'!$A$9</xm:f>
            <x14:dxf>
              <fill>
                <patternFill>
                  <bgColor theme="8" tint="0.59996337778862885"/>
                </patternFill>
              </fill>
            </x14:dxf>
          </x14:cfRule>
          <x14:cfRule type="cellIs" priority="7026" operator="equal" id="{AAA7C186-AA11-4A46-B8B8-7823389E5178}">
            <xm:f>'Clash Matrix Legend'!$A$10</xm:f>
            <x14:dxf>
              <fill>
                <patternFill>
                  <bgColor theme="8" tint="-0.24994659260841701"/>
                </patternFill>
              </fill>
            </x14:dxf>
          </x14:cfRule>
          <xm:sqref>AE56:AK56 AE58:AM58 AF60:AM60 AI64:AJ64 AM64</xm:sqref>
        </x14:conditionalFormatting>
        <x14:conditionalFormatting xmlns:xm="http://schemas.microsoft.com/office/excel/2006/main">
          <x14:cfRule type="cellIs" priority="7022" operator="equal" id="{62CCAE44-02B2-4221-BF03-C8E4C76EC759}">
            <xm:f>'Clash Matrix Legend'!$A$11</xm:f>
            <x14:dxf>
              <fill>
                <patternFill>
                  <bgColor theme="8" tint="-0.499984740745262"/>
                </patternFill>
              </fill>
            </x14:dxf>
          </x14:cfRule>
          <xm:sqref>AE56:AK56 AE58:AM58 AF60:AM60 AI64:AJ64</xm:sqref>
        </x14:conditionalFormatting>
        <x14:conditionalFormatting xmlns:xm="http://schemas.microsoft.com/office/excel/2006/main">
          <x14:cfRule type="cellIs" priority="7053" operator="equal" id="{888D93E2-3A7F-40FF-8C72-49DB6841FB04}">
            <xm:f>'Clash Matrix Legend'!$A$10</xm:f>
            <x14:dxf>
              <fill>
                <patternFill>
                  <bgColor theme="8" tint="-0.24994659260841701"/>
                </patternFill>
              </fill>
            </x14:dxf>
          </x14:cfRule>
          <xm:sqref>AE59:AM59 AF61 AG62:AG63 AG63:AM63 AH65 AF15:AM15</xm:sqref>
        </x14:conditionalFormatting>
        <x14:conditionalFormatting xmlns:xm="http://schemas.microsoft.com/office/excel/2006/main">
          <x14:cfRule type="cellIs" priority="7050" operator="equal" id="{D22A3FDA-8102-48C0-974A-FBDA720EAE3F}">
            <xm:f>'Clash Matrix Legend'!$A$11</xm:f>
            <x14:dxf>
              <fill>
                <patternFill>
                  <bgColor theme="8" tint="-0.499984740745262"/>
                </patternFill>
              </fill>
            </x14:dxf>
          </x14:cfRule>
          <xm:sqref>AE59:AM59 AG63:AM63 AF61 AG62:AG63 AH65:AM65</xm:sqref>
        </x14:conditionalFormatting>
        <x14:conditionalFormatting xmlns:xm="http://schemas.microsoft.com/office/excel/2006/main">
          <x14:cfRule type="cellIs" priority="7098" operator="equal" id="{5A0EF2C9-0E7A-4D20-BEDD-BC1257A3D6AB}">
            <xm:f>'Clash Matrix Legend'!$A$11</xm:f>
            <x14:dxf>
              <fill>
                <patternFill>
                  <bgColor theme="8" tint="-0.499984740745262"/>
                </patternFill>
              </fill>
            </x14:dxf>
          </x14:cfRule>
          <x14:cfRule type="cellIs" priority="7102" operator="equal" id="{92311269-A96C-45F9-A6F0-B239AA423A51}">
            <xm:f>'Clash Matrix Legend'!$A$10</xm:f>
            <x14:dxf>
              <fill>
                <patternFill>
                  <bgColor theme="8" tint="-0.24994659260841701"/>
                </patternFill>
              </fill>
            </x14:dxf>
          </x14:cfRule>
          <x14:cfRule type="cellIs" priority="7103" operator="equal" id="{D29F5FC0-061C-40B2-9A78-68E7D68D2D9E}">
            <xm:f>'Clash Matrix Legend'!$A$9</xm:f>
            <x14:dxf>
              <fill>
                <patternFill>
                  <bgColor theme="8" tint="0.59996337778862885"/>
                </patternFill>
              </fill>
            </x14:dxf>
          </x14:cfRule>
          <x14:cfRule type="cellIs" priority="7104" operator="equal" id="{4BCFED93-91FA-4058-8E35-E7A57F726D11}">
            <xm:f>'Clash Matrix Legend'!#REF!</xm:f>
            <x14:dxf>
              <fill>
                <patternFill>
                  <bgColor theme="8" tint="0.79998168889431442"/>
                </patternFill>
              </fill>
            </x14:dxf>
          </x14:cfRule>
          <x14:cfRule type="cellIs" priority="7108" operator="equal" id="{807E7280-C1DE-4023-90AF-34E48771C558}">
            <xm:f>'Clash Matrix Legend'!$A$11</xm:f>
            <x14:dxf>
              <fill>
                <patternFill>
                  <bgColor theme="8" tint="-0.499984740745262"/>
                </patternFill>
              </fill>
            </x14:dxf>
          </x14:cfRule>
          <x14:cfRule type="cellIs" priority="1894" operator="equal" id="{C772383C-9F30-4B78-BA70-2474A6868417}">
            <xm:f>'Clash Matrix Legend'!$A$11</xm:f>
            <x14:dxf>
              <fill>
                <patternFill>
                  <bgColor theme="8" tint="-0.499984740745262"/>
                </patternFill>
              </fill>
            </x14:dxf>
          </x14:cfRule>
          <x14:cfRule type="cellIs" priority="1898" operator="equal" id="{47FADE5F-8DEB-49D6-B647-D57ACE40D3E1}">
            <xm:f>'Clash Matrix Legend'!$A$10</xm:f>
            <x14:dxf>
              <fill>
                <patternFill>
                  <bgColor theme="8" tint="-0.24994659260841701"/>
                </patternFill>
              </fill>
            </x14:dxf>
          </x14:cfRule>
          <x14:cfRule type="cellIs" priority="1899" operator="equal" id="{C89C4153-DB23-4B06-9693-AFF37537FED1}">
            <xm:f>'Clash Matrix Legend'!$A$9</xm:f>
            <x14:dxf>
              <fill>
                <patternFill>
                  <bgColor theme="8" tint="0.59996337778862885"/>
                </patternFill>
              </fill>
            </x14:dxf>
          </x14:cfRule>
          <x14:cfRule type="cellIs" priority="1900" operator="equal" id="{9D73E89A-BADE-4AAD-B60D-A41C4FF78E32}">
            <xm:f>'Clash Matrix Legend'!#REF!</xm:f>
            <x14:dxf>
              <fill>
                <patternFill>
                  <bgColor theme="8" tint="0.79998168889431442"/>
                </patternFill>
              </fill>
            </x14:dxf>
          </x14:cfRule>
          <x14:cfRule type="cellIs" priority="1902" operator="equal" id="{371AFD77-0FC3-4337-8CBE-22BCAD073AA0}">
            <xm:f>'Clash Matrix Legend'!$A$11</xm:f>
            <x14:dxf>
              <fill>
                <patternFill>
                  <bgColor theme="8" tint="-0.499984740745262"/>
                </patternFill>
              </fill>
            </x14:dxf>
          </x14:cfRule>
          <x14:cfRule type="cellIs" priority="1906" operator="equal" id="{98FE7642-7376-4393-AB0B-833D59C20B9A}">
            <xm:f>'Clash Matrix Legend'!$A$10</xm:f>
            <x14:dxf>
              <fill>
                <patternFill>
                  <bgColor theme="8" tint="-0.24994659260841701"/>
                </patternFill>
              </fill>
            </x14:dxf>
          </x14:cfRule>
          <x14:cfRule type="cellIs" priority="1907" operator="equal" id="{58385237-2B05-4CE5-8DB8-E26955533FDB}">
            <xm:f>'Clash Matrix Legend'!$A$9</xm:f>
            <x14:dxf>
              <fill>
                <patternFill>
                  <bgColor theme="8" tint="0.59996337778862885"/>
                </patternFill>
              </fill>
            </x14:dxf>
          </x14:cfRule>
          <x14:cfRule type="cellIs" priority="1908" operator="equal" id="{3BC329AE-1384-4CA1-BF16-3D2E116727F2}">
            <xm:f>'Clash Matrix Legend'!#REF!</xm:f>
            <x14:dxf>
              <fill>
                <patternFill>
                  <bgColor theme="8" tint="0.79998168889431442"/>
                </patternFill>
              </fill>
            </x14:dxf>
          </x14:cfRule>
          <x14:cfRule type="cellIs" priority="7112" operator="equal" id="{C710306C-AF5B-4328-9B24-1FEDE90F62C6}">
            <xm:f>'Clash Matrix Legend'!$A$10</xm:f>
            <x14:dxf>
              <fill>
                <patternFill>
                  <bgColor theme="8" tint="-0.24994659260841701"/>
                </patternFill>
              </fill>
            </x14:dxf>
          </x14:cfRule>
          <x14:cfRule type="cellIs" priority="7113" operator="equal" id="{F1745091-4D0E-4646-A172-6601F005FEE4}">
            <xm:f>'Clash Matrix Legend'!$A$9</xm:f>
            <x14:dxf>
              <fill>
                <patternFill>
                  <bgColor theme="8" tint="0.59996337778862885"/>
                </patternFill>
              </fill>
            </x14:dxf>
          </x14:cfRule>
          <x14:cfRule type="cellIs" priority="7114" operator="equal" id="{5D675B00-E380-41A9-BD43-130908961397}">
            <xm:f>'Clash Matrix Legend'!#REF!</xm:f>
            <x14:dxf>
              <fill>
                <patternFill>
                  <bgColor theme="8" tint="0.79998168889431442"/>
                </patternFill>
              </fill>
            </x14:dxf>
          </x14:cfRule>
          <xm:sqref>AF60:AF61</xm:sqref>
        </x14:conditionalFormatting>
        <x14:conditionalFormatting xmlns:xm="http://schemas.microsoft.com/office/excel/2006/main">
          <x14:cfRule type="cellIs" priority="7133" operator="equal" id="{93238AB5-A5B2-4803-AB76-288ADA240F97}">
            <xm:f>'Clash Matrix Legend'!$A$11</xm:f>
            <x14:dxf>
              <fill>
                <patternFill>
                  <bgColor theme="8" tint="-0.499984740745262"/>
                </patternFill>
              </fill>
            </x14:dxf>
          </x14:cfRule>
          <xm:sqref>AF71 AH71 AF73 AH73 AJ73 AJ71:AM71</xm:sqref>
        </x14:conditionalFormatting>
        <x14:conditionalFormatting xmlns:xm="http://schemas.microsoft.com/office/excel/2006/main">
          <x14:cfRule type="cellIs" priority="7139" operator="equal" id="{5706F8A3-EEBC-434E-8D81-4ABE7B5084A3}">
            <xm:f>'Clash Matrix Legend'!#REF!</xm:f>
            <x14:dxf>
              <fill>
                <patternFill>
                  <bgColor theme="8" tint="0.79998168889431442"/>
                </patternFill>
              </fill>
            </x14:dxf>
          </x14:cfRule>
          <x14:cfRule type="cellIs" priority="7138" operator="equal" id="{BA3AE8D4-C523-4B4A-9E79-CA500B6B18F5}">
            <xm:f>'Clash Matrix Legend'!$A$9</xm:f>
            <x14:dxf>
              <fill>
                <patternFill>
                  <bgColor theme="8" tint="0.59996337778862885"/>
                </patternFill>
              </fill>
            </x14:dxf>
          </x14:cfRule>
          <x14:cfRule type="cellIs" priority="7137" operator="equal" id="{686DE3B8-3DFA-44F6-9254-466DC3F64FB2}">
            <xm:f>'Clash Matrix Legend'!$A$10</xm:f>
            <x14:dxf>
              <fill>
                <patternFill>
                  <bgColor theme="8" tint="-0.24994659260841701"/>
                </patternFill>
              </fill>
            </x14:dxf>
          </x14:cfRule>
          <xm:sqref>AF71 AH71 AJ71 AF73 AH73 AJ73</xm:sqref>
        </x14:conditionalFormatting>
        <x14:conditionalFormatting xmlns:xm="http://schemas.microsoft.com/office/excel/2006/main">
          <x14:cfRule type="cellIs" priority="7162" operator="equal" id="{9C3CC3CC-4974-4198-8778-5767DE6B37E3}">
            <xm:f>'Clash Matrix Legend'!$A$9</xm:f>
            <x14:dxf>
              <fill>
                <patternFill>
                  <bgColor theme="8" tint="0.59996337778862885"/>
                </patternFill>
              </fill>
            </x14:dxf>
          </x14:cfRule>
          <x14:cfRule type="cellIs" priority="7161" operator="equal" id="{FC9BBCC6-8E2F-40C1-9B44-E70B27E6DA39}">
            <xm:f>'Clash Matrix Legend'!$A$10</xm:f>
            <x14:dxf>
              <fill>
                <patternFill>
                  <bgColor theme="8" tint="-0.24994659260841701"/>
                </patternFill>
              </fill>
            </x14:dxf>
          </x14:cfRule>
          <x14:cfRule type="cellIs" priority="7157" operator="equal" id="{05CC28E4-96A8-4A1A-96A7-8BC0D20A9D2E}">
            <xm:f>'Clash Matrix Legend'!$A$11</xm:f>
            <x14:dxf>
              <fill>
                <patternFill>
                  <bgColor theme="8" tint="-0.499984740745262"/>
                </patternFill>
              </fill>
            </x14:dxf>
          </x14:cfRule>
          <x14:cfRule type="cellIs" priority="7163" operator="equal" id="{4D2FDA67-C120-418F-B5DB-F7D566B8871C}">
            <xm:f>'Clash Matrix Legend'!#REF!</xm:f>
            <x14:dxf>
              <fill>
                <patternFill>
                  <bgColor theme="8" tint="0.79998168889431442"/>
                </patternFill>
              </fill>
            </x14:dxf>
          </x14:cfRule>
          <x14:cfRule type="cellIs" priority="7170" operator="equal" id="{F065C05C-6199-4E28-BBB1-ADCF0E36DF49}">
            <xm:f>'Clash Matrix Legend'!$A$9</xm:f>
            <x14:dxf>
              <fill>
                <patternFill>
                  <bgColor theme="8" tint="0.59996337778862885"/>
                </patternFill>
              </fill>
            </x14:dxf>
          </x14:cfRule>
          <x14:cfRule type="cellIs" priority="7171" operator="equal" id="{B13B353E-985E-4465-BBFA-DFD313E8F49E}">
            <xm:f>'Clash Matrix Legend'!#REF!</xm:f>
            <x14:dxf>
              <fill>
                <patternFill>
                  <bgColor theme="8" tint="0.79998168889431442"/>
                </patternFill>
              </fill>
            </x14:dxf>
          </x14:cfRule>
          <x14:cfRule type="cellIs" priority="7165" operator="equal" id="{99C34128-390C-427B-9237-902E3156248C}">
            <xm:f>'Clash Matrix Legend'!$A$11</xm:f>
            <x14:dxf>
              <fill>
                <patternFill>
                  <bgColor theme="8" tint="-0.499984740745262"/>
                </patternFill>
              </fill>
            </x14:dxf>
          </x14:cfRule>
          <x14:cfRule type="cellIs" priority="7169" operator="equal" id="{5BB71D83-D2E2-4177-A020-C56D471E9EA4}">
            <xm:f>'Clash Matrix Legend'!$A$10</xm:f>
            <x14:dxf>
              <fill>
                <patternFill>
                  <bgColor theme="8" tint="-0.24994659260841701"/>
                </patternFill>
              </fill>
            </x14:dxf>
          </x14:cfRule>
          <xm:sqref>AF58:AJ59</xm:sqref>
        </x14:conditionalFormatting>
        <x14:conditionalFormatting xmlns:xm="http://schemas.microsoft.com/office/excel/2006/main">
          <x14:cfRule type="cellIs" priority="7205" operator="equal" id="{81B91E76-EB43-49ED-9BF4-7BCC5CD3558A}">
            <xm:f>'Clash Matrix Legend'!$A$9</xm:f>
            <x14:dxf>
              <fill>
                <patternFill>
                  <bgColor theme="8" tint="0.59996337778862885"/>
                </patternFill>
              </fill>
            </x14:dxf>
          </x14:cfRule>
          <x14:cfRule type="cellIs" priority="7204" operator="equal" id="{4324AD32-8713-4E19-A94C-A7D76569577C}">
            <xm:f>'Clash Matrix Legend'!$A$10</xm:f>
            <x14:dxf>
              <fill>
                <patternFill>
                  <bgColor theme="8" tint="-0.24994659260841701"/>
                </patternFill>
              </fill>
            </x14:dxf>
          </x14:cfRule>
          <x14:cfRule type="cellIs" priority="7187" operator="equal" id="{12B4BDF7-427C-493D-BAEF-8E9DF81AC887}">
            <xm:f>'Clash Matrix Legend'!$A$10</xm:f>
            <x14:dxf>
              <fill>
                <patternFill>
                  <bgColor theme="8" tint="-0.24994659260841701"/>
                </patternFill>
              </fill>
            </x14:dxf>
          </x14:cfRule>
          <x14:cfRule type="cellIs" priority="7188" operator="equal" id="{9BE4D5F5-1417-4F5C-A49A-05F865D40665}">
            <xm:f>'Clash Matrix Legend'!$A$9</xm:f>
            <x14:dxf>
              <fill>
                <patternFill>
                  <bgColor theme="8" tint="0.59996337778862885"/>
                </patternFill>
              </fill>
            </x14:dxf>
          </x14:cfRule>
          <x14:cfRule type="cellIs" priority="7189" operator="equal" id="{4E12BDC9-AFF6-47A3-A42A-DD54ED15FD09}">
            <xm:f>'Clash Matrix Legend'!#REF!</xm:f>
            <x14:dxf>
              <fill>
                <patternFill>
                  <bgColor theme="8" tint="0.79998168889431442"/>
                </patternFill>
              </fill>
            </x14:dxf>
          </x14:cfRule>
          <x14:cfRule type="cellIs" priority="7191" operator="equal" id="{9F482525-2781-48EB-AC37-7238DF75B213}">
            <xm:f>'Clash Matrix Legend'!$A$11</xm:f>
            <x14:dxf>
              <fill>
                <patternFill>
                  <bgColor theme="8" tint="-0.499984740745262"/>
                </patternFill>
              </fill>
            </x14:dxf>
          </x14:cfRule>
          <x14:cfRule type="cellIs" priority="7195" operator="equal" id="{B47853D5-66D1-4FC3-81A8-B5BDC848AC6B}">
            <xm:f>'Clash Matrix Legend'!$A$10</xm:f>
            <x14:dxf>
              <fill>
                <patternFill>
                  <bgColor theme="8" tint="-0.24994659260841701"/>
                </patternFill>
              </fill>
            </x14:dxf>
          </x14:cfRule>
          <x14:cfRule type="cellIs" priority="7196" operator="equal" id="{B95EC220-3161-4507-87EE-BCA4EA9DEA1D}">
            <xm:f>'Clash Matrix Legend'!$A$9</xm:f>
            <x14:dxf>
              <fill>
                <patternFill>
                  <bgColor theme="8" tint="0.59996337778862885"/>
                </patternFill>
              </fill>
            </x14:dxf>
          </x14:cfRule>
          <x14:cfRule type="cellIs" priority="7200" operator="equal" id="{59929BF8-226F-42C5-8905-C9183DB499A3}">
            <xm:f>'Clash Matrix Legend'!$A$11</xm:f>
            <x14:dxf>
              <fill>
                <patternFill>
                  <bgColor theme="8" tint="-0.499984740745262"/>
                </patternFill>
              </fill>
            </x14:dxf>
          </x14:cfRule>
          <x14:cfRule type="cellIs" priority="7197" operator="equal" id="{D34FF594-90E2-4E54-A81C-71F0CB1F0577}">
            <xm:f>'Clash Matrix Legend'!#REF!</xm:f>
            <x14:dxf>
              <fill>
                <patternFill>
                  <bgColor theme="8" tint="0.79998168889431442"/>
                </patternFill>
              </fill>
            </x14:dxf>
          </x14:cfRule>
          <x14:cfRule type="cellIs" priority="7206" operator="equal" id="{ADF10914-DB0F-4547-8807-8756FA2425A5}">
            <xm:f>'Clash Matrix Legend'!#REF!</xm:f>
            <x14:dxf>
              <fill>
                <patternFill>
                  <bgColor theme="8" tint="0.79998168889431442"/>
                </patternFill>
              </fill>
            </x14:dxf>
          </x14:cfRule>
          <xm:sqref>AF14:AM14</xm:sqref>
        </x14:conditionalFormatting>
        <x14:conditionalFormatting xmlns:xm="http://schemas.microsoft.com/office/excel/2006/main">
          <x14:cfRule type="cellIs" priority="7223" operator="equal" id="{0096C83C-BA1C-445C-8205-2DC5CA0C03C0}">
            <xm:f>'Clash Matrix Legend'!#REF!</xm:f>
            <x14:dxf>
              <fill>
                <patternFill>
                  <bgColor theme="8" tint="0.79998168889431442"/>
                </patternFill>
              </fill>
            </x14:dxf>
          </x14:cfRule>
          <x14:cfRule type="cellIs" priority="7213" operator="equal" id="{4B702F5F-4A99-4434-9A2B-2D9D5DA7143C}">
            <xm:f>'Clash Matrix Legend'!$A$10</xm:f>
            <x14:dxf>
              <fill>
                <patternFill>
                  <bgColor theme="8" tint="-0.24994659260841701"/>
                </patternFill>
              </fill>
            </x14:dxf>
          </x14:cfRule>
          <x14:cfRule type="cellIs" priority="7222" operator="equal" id="{E6096379-3168-4D2B-9052-BDE9AD5CC529}">
            <xm:f>'Clash Matrix Legend'!$A$9</xm:f>
            <x14:dxf>
              <fill>
                <patternFill>
                  <bgColor theme="8" tint="0.59996337778862885"/>
                </patternFill>
              </fill>
            </x14:dxf>
          </x14:cfRule>
          <x14:cfRule type="cellIs" priority="7221" operator="equal" id="{811447A0-AA15-4F74-AD36-CBC4431DDD6D}">
            <xm:f>'Clash Matrix Legend'!$A$10</xm:f>
            <x14:dxf>
              <fill>
                <patternFill>
                  <bgColor theme="8" tint="-0.24994659260841701"/>
                </patternFill>
              </fill>
            </x14:dxf>
          </x14:cfRule>
          <x14:cfRule type="cellIs" priority="7226" operator="equal" id="{E3880C66-4928-4C0A-8819-73684B5B4A8F}">
            <xm:f>'Clash Matrix Legend'!$A$11</xm:f>
            <x14:dxf>
              <fill>
                <patternFill>
                  <bgColor theme="8" tint="-0.499984740745262"/>
                </patternFill>
              </fill>
            </x14:dxf>
          </x14:cfRule>
          <x14:cfRule type="cellIs" priority="7209" operator="equal" id="{E9AC214E-486F-4949-A5DC-76783ACFB5EA}">
            <xm:f>'Clash Matrix Legend'!$A$11</xm:f>
            <x14:dxf>
              <fill>
                <patternFill>
                  <bgColor theme="8" tint="-0.499984740745262"/>
                </patternFill>
              </fill>
            </x14:dxf>
          </x14:cfRule>
          <x14:cfRule type="cellIs" priority="7232" operator="equal" id="{D3F27EF4-B174-43E2-8A8D-6FEEA7338E56}">
            <xm:f>'Clash Matrix Legend'!#REF!</xm:f>
            <x14:dxf>
              <fill>
                <patternFill>
                  <bgColor theme="8" tint="0.79998168889431442"/>
                </patternFill>
              </fill>
            </x14:dxf>
          </x14:cfRule>
          <x14:cfRule type="cellIs" priority="7231" operator="equal" id="{B614C129-7238-4333-9029-A961EFCFDD6E}">
            <xm:f>'Clash Matrix Legend'!$A$9</xm:f>
            <x14:dxf>
              <fill>
                <patternFill>
                  <bgColor theme="8" tint="0.59996337778862885"/>
                </patternFill>
              </fill>
            </x14:dxf>
          </x14:cfRule>
          <x14:cfRule type="cellIs" priority="7230" operator="equal" id="{B8B9E56C-E8E6-48FB-987E-33C5DE5A156A}">
            <xm:f>'Clash Matrix Legend'!$A$10</xm:f>
            <x14:dxf>
              <fill>
                <patternFill>
                  <bgColor theme="8" tint="-0.24994659260841701"/>
                </patternFill>
              </fill>
            </x14:dxf>
          </x14:cfRule>
          <x14:cfRule type="cellIs" priority="7214" operator="equal" id="{243B47EC-A097-47FA-9A26-81AF10278C4A}">
            <xm:f>'Clash Matrix Legend'!$A$9</xm:f>
            <x14:dxf>
              <fill>
                <patternFill>
                  <bgColor theme="8" tint="0.59996337778862885"/>
                </patternFill>
              </fill>
            </x14:dxf>
          </x14:cfRule>
          <x14:cfRule type="cellIs" priority="7215" operator="equal" id="{CE801C6D-A7F6-474F-B8D3-86B6EAAF1388}">
            <xm:f>'Clash Matrix Legend'!#REF!</xm:f>
            <x14:dxf>
              <fill>
                <patternFill>
                  <bgColor theme="8" tint="0.79998168889431442"/>
                </patternFill>
              </fill>
            </x14:dxf>
          </x14:cfRule>
          <x14:cfRule type="cellIs" priority="7217" operator="equal" id="{4B20DE44-9122-4C79-B31B-DB8C1FA2F55C}">
            <xm:f>'Clash Matrix Legend'!$A$11</xm:f>
            <x14:dxf>
              <fill>
                <patternFill>
                  <bgColor theme="8" tint="-0.499984740745262"/>
                </patternFill>
              </fill>
            </x14:dxf>
          </x14:cfRule>
          <xm:sqref>AF14:AM15</xm:sqref>
        </x14:conditionalFormatting>
        <x14:conditionalFormatting xmlns:xm="http://schemas.microsoft.com/office/excel/2006/main">
          <x14:cfRule type="cellIs" priority="7054" operator="equal" id="{6736BA12-B515-45EE-A872-3A59C89D2130}">
            <xm:f>'Clash Matrix Legend'!$A$9</xm:f>
            <x14:dxf>
              <fill>
                <patternFill>
                  <bgColor theme="8" tint="0.59996337778862885"/>
                </patternFill>
              </fill>
            </x14:dxf>
          </x14:cfRule>
          <x14:cfRule type="cellIs" priority="7055" operator="equal" id="{439556A3-FC2C-42D3-8F87-E0C7D48B2885}">
            <xm:f>'Clash Matrix Legend'!#REF!</xm:f>
            <x14:dxf>
              <fill>
                <patternFill>
                  <bgColor theme="8" tint="0.79998168889431442"/>
                </patternFill>
              </fill>
            </x14:dxf>
          </x14:cfRule>
          <xm:sqref>AF15:AM15 AE59:AM59 AF61 AG62:AG63 AG63:AM63 AH65</xm:sqref>
        </x14:conditionalFormatting>
        <x14:conditionalFormatting xmlns:xm="http://schemas.microsoft.com/office/excel/2006/main">
          <x14:cfRule type="cellIs" priority="2543" operator="equal" id="{FE552CD4-5C49-4CD1-A4BF-578F1609577B}">
            <xm:f>'Clash Matrix Legend'!$A$10</xm:f>
            <x14:dxf>
              <fill>
                <patternFill>
                  <bgColor theme="8" tint="-0.24994659260841701"/>
                </patternFill>
              </fill>
            </x14:dxf>
          </x14:cfRule>
          <x14:cfRule type="cellIs" priority="2545" operator="equal" id="{A1F5BDB1-C2A3-4CA7-85C6-E582AED1D1B8}">
            <xm:f>'Clash Matrix Legend'!#REF!</xm:f>
            <x14:dxf>
              <fill>
                <patternFill>
                  <bgColor theme="8" tint="0.79998168889431442"/>
                </patternFill>
              </fill>
            </x14:dxf>
          </x14:cfRule>
          <x14:cfRule type="cellIs" priority="2548" operator="equal" id="{904D3624-82AA-4D06-9D14-673859DFFA13}">
            <xm:f>'Clash Matrix Legend'!$A$11</xm:f>
            <x14:dxf>
              <fill>
                <patternFill>
                  <bgColor theme="8" tint="-0.499984740745262"/>
                </patternFill>
              </fill>
            </x14:dxf>
          </x14:cfRule>
          <x14:cfRule type="cellIs" priority="2544" operator="equal" id="{8C137E09-A380-4B91-90FD-B7A5A4ACBF37}">
            <xm:f>'Clash Matrix Legend'!$A$9</xm:f>
            <x14:dxf>
              <fill>
                <patternFill>
                  <bgColor theme="8" tint="0.59996337778862885"/>
                </patternFill>
              </fill>
            </x14:dxf>
          </x14:cfRule>
          <x14:cfRule type="cellIs" priority="2539" operator="equal" id="{7212E8D7-D4D8-4069-BEA4-8309F8F10C53}">
            <xm:f>'Clash Matrix Legend'!$A$11</xm:f>
            <x14:dxf>
              <fill>
                <patternFill>
                  <bgColor theme="8" tint="-0.499984740745262"/>
                </patternFill>
              </fill>
            </x14:dxf>
          </x14:cfRule>
          <x14:cfRule type="cellIs" priority="2537" operator="equal" id="{7E53C2B5-A2F3-46DC-8A22-87DCC597187E}">
            <xm:f>'Clash Matrix Legend'!#REF!</xm:f>
            <x14:dxf>
              <fill>
                <patternFill>
                  <bgColor theme="8" tint="0.79998168889431442"/>
                </patternFill>
              </fill>
            </x14:dxf>
          </x14:cfRule>
          <x14:cfRule type="cellIs" priority="2536" operator="equal" id="{15E10D61-E658-49FF-89EC-B43644424493}">
            <xm:f>'Clash Matrix Legend'!$A$9</xm:f>
            <x14:dxf>
              <fill>
                <patternFill>
                  <bgColor theme="8" tint="0.59996337778862885"/>
                </patternFill>
              </fill>
            </x14:dxf>
          </x14:cfRule>
          <x14:cfRule type="cellIs" priority="2535" operator="equal" id="{9737A70B-CCC2-4BDC-889D-0996E6CE8210}">
            <xm:f>'Clash Matrix Legend'!$A$10</xm:f>
            <x14:dxf>
              <fill>
                <patternFill>
                  <bgColor theme="8" tint="-0.24994659260841701"/>
                </patternFill>
              </fill>
            </x14:dxf>
          </x14:cfRule>
          <x14:cfRule type="cellIs" priority="2552" operator="equal" id="{0EE87C7B-8277-458B-ADE4-0B127B50AD32}">
            <xm:f>'Clash Matrix Legend'!$A$10</xm:f>
            <x14:dxf>
              <fill>
                <patternFill>
                  <bgColor theme="8" tint="-0.24994659260841701"/>
                </patternFill>
              </fill>
            </x14:dxf>
          </x14:cfRule>
          <x14:cfRule type="cellIs" priority="2553" operator="equal" id="{3AA98754-0040-47D4-B3F6-EE6CB96FC3A3}">
            <xm:f>'Clash Matrix Legend'!$A$9</xm:f>
            <x14:dxf>
              <fill>
                <patternFill>
                  <bgColor theme="8" tint="0.59996337778862885"/>
                </patternFill>
              </fill>
            </x14:dxf>
          </x14:cfRule>
          <x14:cfRule type="cellIs" priority="2554" operator="equal" id="{0796CECE-D336-4369-B96C-C30691719F27}">
            <xm:f>'Clash Matrix Legend'!#REF!</xm:f>
            <x14:dxf>
              <fill>
                <patternFill>
                  <bgColor theme="8" tint="0.79998168889431442"/>
                </patternFill>
              </fill>
            </x14:dxf>
          </x14:cfRule>
          <x14:cfRule type="cellIs" priority="2531" operator="equal" id="{1502AF36-E598-41F3-84FF-DC215400F3CE}">
            <xm:f>'Clash Matrix Legend'!$A$11</xm:f>
            <x14:dxf>
              <fill>
                <patternFill>
                  <bgColor theme="8" tint="-0.499984740745262"/>
                </patternFill>
              </fill>
            </x14:dxf>
          </x14:cfRule>
          <x14:cfRule type="cellIs" priority="2501" operator="equal" id="{AAC36A80-922B-4F40-8040-1927A4F30E6E}">
            <xm:f>'Clash Matrix Legend'!$A$11</xm:f>
            <x14:dxf>
              <fill>
                <patternFill>
                  <bgColor theme="8" tint="-0.499984740745262"/>
                </patternFill>
              </fill>
            </x14:dxf>
          </x14:cfRule>
          <xm:sqref>AG4:AG5</xm:sqref>
        </x14:conditionalFormatting>
        <x14:conditionalFormatting xmlns:xm="http://schemas.microsoft.com/office/excel/2006/main">
          <x14:cfRule type="cellIs" priority="2506" operator="equal" id="{63E565EB-72C2-49F5-9533-C58B724DDC5E}">
            <xm:f>'Clash Matrix Legend'!#REF!</xm:f>
            <x14:dxf>
              <fill>
                <patternFill>
                  <bgColor theme="8" tint="0.79998168889431442"/>
                </patternFill>
              </fill>
            </x14:dxf>
          </x14:cfRule>
          <x14:cfRule type="cellIs" priority="2505" operator="equal" id="{E8C53CA9-1B6F-4B3A-BBA5-5366863AA10D}">
            <xm:f>'Clash Matrix Legend'!$A$9</xm:f>
            <x14:dxf>
              <fill>
                <patternFill>
                  <bgColor theme="8" tint="0.59996337778862885"/>
                </patternFill>
              </fill>
            </x14:dxf>
          </x14:cfRule>
          <x14:cfRule type="cellIs" priority="2504" operator="equal" id="{576ECEB6-3AD4-4D09-A217-905938434CFB}">
            <xm:f>'Clash Matrix Legend'!$A$10</xm:f>
            <x14:dxf>
              <fill>
                <patternFill>
                  <bgColor theme="8" tint="-0.24994659260841701"/>
                </patternFill>
              </fill>
            </x14:dxf>
          </x14:cfRule>
          <xm:sqref>AG5</xm:sqref>
        </x14:conditionalFormatting>
        <x14:conditionalFormatting xmlns:xm="http://schemas.microsoft.com/office/excel/2006/main">
          <x14:cfRule type="cellIs" priority="7245" operator="equal" id="{85C946DF-A9D9-4EF7-AC48-86D61D8F1A27}">
            <xm:f>'Clash Matrix Legend'!$A$9</xm:f>
            <x14:dxf>
              <fill>
                <patternFill>
                  <bgColor theme="8" tint="0.59996337778862885"/>
                </patternFill>
              </fill>
            </x14:dxf>
          </x14:cfRule>
          <x14:cfRule type="cellIs" priority="7246" operator="equal" id="{C61C7E08-A54F-4459-B77C-09E6442C684F}">
            <xm:f>'Clash Matrix Legend'!#REF!</xm:f>
            <x14:dxf>
              <fill>
                <patternFill>
                  <bgColor theme="8" tint="0.79998168889431442"/>
                </patternFill>
              </fill>
            </x14:dxf>
          </x14:cfRule>
          <x14:cfRule type="cellIs" priority="7240" operator="equal" id="{6BAE65A3-C842-4CEA-A770-EAC7F97DB6B8}">
            <xm:f>'Clash Matrix Legend'!$A$11</xm:f>
            <x14:dxf>
              <fill>
                <patternFill>
                  <bgColor theme="8" tint="-0.499984740745262"/>
                </patternFill>
              </fill>
            </x14:dxf>
          </x14:cfRule>
          <x14:cfRule type="cellIs" priority="7244" operator="equal" id="{628BDCE8-96FA-4755-AD5E-CBA3096F2650}">
            <xm:f>'Clash Matrix Legend'!$A$10</xm:f>
            <x14:dxf>
              <fill>
                <patternFill>
                  <bgColor theme="8" tint="-0.24994659260841701"/>
                </patternFill>
              </fill>
            </x14:dxf>
          </x14:cfRule>
          <xm:sqref>AG12:AG13</xm:sqref>
        </x14:conditionalFormatting>
        <x14:conditionalFormatting xmlns:xm="http://schemas.microsoft.com/office/excel/2006/main">
          <x14:cfRule type="cellIs" priority="8552" operator="equal" id="{1FE5F376-41A3-4D17-B529-03D61CE90500}">
            <xm:f>'Clash Matrix Legend'!$A$10</xm:f>
            <x14:dxf>
              <fill>
                <patternFill>
                  <bgColor theme="8" tint="-0.24994659260841701"/>
                </patternFill>
              </fill>
            </x14:dxf>
          </x14:cfRule>
          <xm:sqref>AG18 AG20 AI18:AJ18</xm:sqref>
        </x14:conditionalFormatting>
        <x14:conditionalFormatting xmlns:xm="http://schemas.microsoft.com/office/excel/2006/main">
          <x14:cfRule type="cellIs" priority="8551" operator="equal" id="{F560C06E-EF77-4C82-B871-4AF5035E28FE}">
            <xm:f>'Clash Matrix Legend'!$A$11</xm:f>
            <x14:dxf>
              <fill>
                <patternFill>
                  <bgColor theme="8" tint="-0.499984740745262"/>
                </patternFill>
              </fill>
            </x14:dxf>
          </x14:cfRule>
          <xm:sqref>AG18 AG20</xm:sqref>
        </x14:conditionalFormatting>
        <x14:conditionalFormatting xmlns:xm="http://schemas.microsoft.com/office/excel/2006/main">
          <x14:cfRule type="cellIs" priority="7273" operator="equal" id="{9B82E00B-A6F2-4652-B85C-128C0919B459}">
            <xm:f>'Clash Matrix Legend'!#REF!</xm:f>
            <x14:dxf>
              <fill>
                <patternFill>
                  <bgColor theme="8" tint="0.79998168889431442"/>
                </patternFill>
              </fill>
            </x14:dxf>
          </x14:cfRule>
          <x14:cfRule type="cellIs" priority="7271" operator="equal" id="{81EC206E-0156-4D55-B5C9-F00928C3523D}">
            <xm:f>'Clash Matrix Legend'!$A$10</xm:f>
            <x14:dxf>
              <fill>
                <patternFill>
                  <bgColor theme="8" tint="-0.24994659260841701"/>
                </patternFill>
              </fill>
            </x14:dxf>
          </x14:cfRule>
          <x14:cfRule type="cellIs" priority="7272" operator="equal" id="{A1A19DAC-CE77-4C02-BE53-EC0FE833E9FD}">
            <xm:f>'Clash Matrix Legend'!$A$9</xm:f>
            <x14:dxf>
              <fill>
                <patternFill>
                  <bgColor theme="8" tint="0.59996337778862885"/>
                </patternFill>
              </fill>
            </x14:dxf>
          </x14:cfRule>
          <x14:cfRule type="cellIs" priority="7275" operator="equal" id="{3173DFC9-5106-476C-A1D7-8243D5E8C531}">
            <xm:f>'Clash Matrix Legend'!$A$11</xm:f>
            <x14:dxf>
              <fill>
                <patternFill>
                  <bgColor theme="8" tint="-0.499984740745262"/>
                </patternFill>
              </fill>
            </x14:dxf>
          </x14:cfRule>
          <x14:cfRule type="cellIs" priority="7280" operator="equal" id="{A2222280-15FA-4870-94E0-1B8E4E0F848C}">
            <xm:f>'Clash Matrix Legend'!$A$9</xm:f>
            <x14:dxf>
              <fill>
                <patternFill>
                  <bgColor theme="8" tint="0.59996337778862885"/>
                </patternFill>
              </fill>
            </x14:dxf>
          </x14:cfRule>
          <x14:cfRule type="cellIs" priority="7281" operator="equal" id="{82BE10AE-EFFA-43B8-AB14-3DE080D1FA8E}">
            <xm:f>'Clash Matrix Legend'!#REF!</xm:f>
            <x14:dxf>
              <fill>
                <patternFill>
                  <bgColor theme="8" tint="0.79998168889431442"/>
                </patternFill>
              </fill>
            </x14:dxf>
          </x14:cfRule>
          <x14:cfRule type="cellIs" priority="7264" operator="equal" id="{86F8F89E-A236-4883-852B-FB862B064C1C}">
            <xm:f>'Clash Matrix Legend'!#REF!</xm:f>
            <x14:dxf>
              <fill>
                <patternFill>
                  <bgColor theme="8" tint="0.79998168889431442"/>
                </patternFill>
              </fill>
            </x14:dxf>
          </x14:cfRule>
          <x14:cfRule type="cellIs" priority="7279" operator="equal" id="{D34F4473-851D-42B3-AD1B-05A66E085FCF}">
            <xm:f>'Clash Matrix Legend'!$A$10</xm:f>
            <x14:dxf>
              <fill>
                <patternFill>
                  <bgColor theme="8" tint="-0.24994659260841701"/>
                </patternFill>
              </fill>
            </x14:dxf>
          </x14:cfRule>
          <x14:cfRule type="cellIs" priority="7290" operator="equal" id="{0DAAB995-73A6-45E1-8BEA-241A53601CE5}">
            <xm:f>'Clash Matrix Legend'!#REF!</xm:f>
            <x14:dxf>
              <fill>
                <patternFill>
                  <bgColor theme="8" tint="0.79998168889431442"/>
                </patternFill>
              </fill>
            </x14:dxf>
          </x14:cfRule>
          <x14:cfRule type="cellIs" priority="7284" operator="equal" id="{741CC133-4A78-4AC0-88A9-8A21376E7F36}">
            <xm:f>'Clash Matrix Legend'!$A$11</xm:f>
            <x14:dxf>
              <fill>
                <patternFill>
                  <bgColor theme="8" tint="-0.499984740745262"/>
                </patternFill>
              </fill>
            </x14:dxf>
          </x14:cfRule>
          <x14:cfRule type="cellIs" priority="7289" operator="equal" id="{A6DFF0BC-A3D4-4419-B1A5-78D2D7A9D008}">
            <xm:f>'Clash Matrix Legend'!$A$9</xm:f>
            <x14:dxf>
              <fill>
                <patternFill>
                  <bgColor theme="8" tint="0.59996337778862885"/>
                </patternFill>
              </fill>
            </x14:dxf>
          </x14:cfRule>
          <x14:cfRule type="cellIs" priority="7263" operator="equal" id="{F648C92D-759B-4589-B98B-AA700A92D244}">
            <xm:f>'Clash Matrix Legend'!$A$9</xm:f>
            <x14:dxf>
              <fill>
                <patternFill>
                  <bgColor theme="8" tint="0.59996337778862885"/>
                </patternFill>
              </fill>
            </x14:dxf>
          </x14:cfRule>
          <x14:cfRule type="cellIs" priority="7258" operator="equal" id="{7FF00DEA-66A7-4F77-BF35-4CD9D939E2D5}">
            <xm:f>'Clash Matrix Legend'!$A$11</xm:f>
            <x14:dxf>
              <fill>
                <patternFill>
                  <bgColor theme="8" tint="-0.499984740745262"/>
                </patternFill>
              </fill>
            </x14:dxf>
          </x14:cfRule>
          <x14:cfRule type="cellIs" priority="7267" operator="equal" id="{52BD2EF1-136A-4990-A3F5-5D5AEC5BB7E2}">
            <xm:f>'Clash Matrix Legend'!$A$11</xm:f>
            <x14:dxf>
              <fill>
                <patternFill>
                  <bgColor theme="8" tint="-0.499984740745262"/>
                </patternFill>
              </fill>
            </x14:dxf>
          </x14:cfRule>
          <x14:cfRule type="cellIs" priority="7255" operator="equal" id="{E563C839-1B18-4E59-9A5A-07B665AC7601}">
            <xm:f>'Clash Matrix Legend'!#REF!</xm:f>
            <x14:dxf>
              <fill>
                <patternFill>
                  <bgColor theme="8" tint="0.79998168889431442"/>
                </patternFill>
              </fill>
            </x14:dxf>
          </x14:cfRule>
          <x14:cfRule type="cellIs" priority="7254" operator="equal" id="{1869286B-BB41-4564-8D59-2E5CFE91BB84}">
            <xm:f>'Clash Matrix Legend'!$A$9</xm:f>
            <x14:dxf>
              <fill>
                <patternFill>
                  <bgColor theme="8" tint="0.59996337778862885"/>
                </patternFill>
              </fill>
            </x14:dxf>
          </x14:cfRule>
          <x14:cfRule type="cellIs" priority="7253" operator="equal" id="{C259F158-E7A0-4BDA-B236-B68B8B19EE56}">
            <xm:f>'Clash Matrix Legend'!$A$10</xm:f>
            <x14:dxf>
              <fill>
                <patternFill>
                  <bgColor theme="8" tint="-0.24994659260841701"/>
                </patternFill>
              </fill>
            </x14:dxf>
          </x14:cfRule>
          <x14:cfRule type="cellIs" priority="7262" operator="equal" id="{10ABFD88-5611-466E-93CC-B82E5A3D8379}">
            <xm:f>'Clash Matrix Legend'!$A$10</xm:f>
            <x14:dxf>
              <fill>
                <patternFill>
                  <bgColor theme="8" tint="-0.24994659260841701"/>
                </patternFill>
              </fill>
            </x14:dxf>
          </x14:cfRule>
          <xm:sqref>AG18 AJ18 AG20</xm:sqref>
        </x14:conditionalFormatting>
        <x14:conditionalFormatting xmlns:xm="http://schemas.microsoft.com/office/excel/2006/main">
          <x14:cfRule type="cellIs" priority="5689" operator="equal" id="{9B82E00B-A6F2-4652-B85C-128C0919B459}">
            <xm:f>'Clash Matrix Legend'!$A$9</xm:f>
            <x14:dxf>
              <fill>
                <patternFill>
                  <bgColor theme="8" tint="0.79998168889431442"/>
                </patternFill>
              </fill>
            </x14:dxf>
          </x14:cfRule>
          <x14:cfRule type="cellIs" priority="5688" operator="equal" id="{A1A19DAC-CE77-4C02-BE53-EC0FE833E9FD}">
            <xm:f>'Clash Matrix Legend'!$A$10</xm:f>
            <x14:dxf>
              <fill>
                <patternFill>
                  <bgColor theme="8" tint="0.59996337778862885"/>
                </patternFill>
              </fill>
            </x14:dxf>
          </x14:cfRule>
          <x14:cfRule type="cellIs" priority="5687" operator="equal" id="{81EC206E-0156-4D55-B5C9-F00928C3523D}">
            <xm:f>'Clash Matrix Legend'!$A$11</xm:f>
            <x14:dxf>
              <fill>
                <patternFill>
                  <bgColor theme="8" tint="-0.24994659260841701"/>
                </patternFill>
              </fill>
            </x14:dxf>
          </x14:cfRule>
          <x14:cfRule type="cellIs" priority="5683" operator="equal" id="{52BD2EF1-136A-4990-A3F5-5D5AEC5BB7E2}">
            <xm:f>'Clash Matrix Legend'!$A$12</xm:f>
            <x14:dxf>
              <fill>
                <patternFill>
                  <bgColor theme="8" tint="-0.499984740745262"/>
                </patternFill>
              </fill>
            </x14:dxf>
          </x14:cfRule>
          <x14:cfRule type="cellIs" priority="5680" operator="equal" id="{86F8F89E-A236-4883-852B-FB862B064C1C}">
            <xm:f>'Clash Matrix Legend'!$A$9</xm:f>
            <x14:dxf>
              <fill>
                <patternFill>
                  <bgColor theme="8" tint="0.79998168889431442"/>
                </patternFill>
              </fill>
            </x14:dxf>
          </x14:cfRule>
          <x14:cfRule type="cellIs" priority="5679" operator="equal" id="{F648C92D-759B-4589-B98B-AA700A92D244}">
            <xm:f>'Clash Matrix Legend'!$A$10</xm:f>
            <x14:dxf>
              <fill>
                <patternFill>
                  <bgColor theme="8" tint="0.59996337778862885"/>
                </patternFill>
              </fill>
            </x14:dxf>
          </x14:cfRule>
          <x14:cfRule type="cellIs" priority="5678" operator="equal" id="{10ABFD88-5611-466E-93CC-B82E5A3D8379}">
            <xm:f>'Clash Matrix Legend'!$A$11</xm:f>
            <x14:dxf>
              <fill>
                <patternFill>
                  <bgColor theme="8" tint="-0.24994659260841701"/>
                </patternFill>
              </fill>
            </x14:dxf>
          </x14:cfRule>
          <x14:cfRule type="cellIs" priority="5674" operator="equal" id="{7FF00DEA-66A7-4F77-BF35-4CD9D939E2D5}">
            <xm:f>'Clash Matrix Legend'!$A$12</xm:f>
            <x14:dxf>
              <fill>
                <patternFill>
                  <bgColor theme="8" tint="-0.499984740745262"/>
                </patternFill>
              </fill>
            </x14:dxf>
          </x14:cfRule>
          <x14:cfRule type="cellIs" priority="5671" operator="equal" id="{E563C839-1B18-4E59-9A5A-07B665AC7601}">
            <xm:f>'Clash Matrix Legend'!$A$9</xm:f>
            <x14:dxf>
              <fill>
                <patternFill>
                  <bgColor theme="8" tint="0.79998168889431442"/>
                </patternFill>
              </fill>
            </x14:dxf>
          </x14:cfRule>
          <x14:cfRule type="cellIs" priority="5670" operator="equal" id="{1869286B-BB41-4564-8D59-2E5CFE91BB84}">
            <xm:f>'Clash Matrix Legend'!$A$10</xm:f>
            <x14:dxf>
              <fill>
                <patternFill>
                  <bgColor theme="8" tint="0.59996337778862885"/>
                </patternFill>
              </fill>
            </x14:dxf>
          </x14:cfRule>
          <x14:cfRule type="cellIs" priority="5669" operator="equal" id="{C259F158-E7A0-4BDA-B236-B68B8B19EE56}">
            <xm:f>'Clash Matrix Legend'!$A$11</xm:f>
            <x14:dxf>
              <fill>
                <patternFill>
                  <bgColor theme="8" tint="-0.24994659260841701"/>
                </patternFill>
              </fill>
            </x14:dxf>
          </x14:cfRule>
          <x14:cfRule type="cellIs" priority="5691" operator="equal" id="{3173DFC9-5106-476C-A1D7-8243D5E8C531}">
            <xm:f>'Clash Matrix Legend'!$A$12</xm:f>
            <x14:dxf>
              <fill>
                <patternFill>
                  <bgColor theme="8" tint="-0.499984740745262"/>
                </patternFill>
              </fill>
            </x14:dxf>
          </x14:cfRule>
          <x14:cfRule type="cellIs" priority="5665" operator="equal" id="{F560C06E-EF77-4C82-B871-4AF5035E28FE}">
            <xm:f>'Clash Matrix Legend'!$A$12</xm:f>
            <x14:dxf>
              <fill>
                <patternFill>
                  <bgColor theme="8" tint="-0.499984740745262"/>
                </patternFill>
              </fill>
            </x14:dxf>
          </x14:cfRule>
          <x14:cfRule type="cellIs" priority="5700" operator="equal" id="{741CC133-4A78-4AC0-88A9-8A21376E7F36}">
            <xm:f>'Clash Matrix Legend'!$A$12</xm:f>
            <x14:dxf>
              <fill>
                <patternFill>
                  <bgColor theme="8" tint="-0.499984740745262"/>
                </patternFill>
              </fill>
            </x14:dxf>
          </x14:cfRule>
          <x14:cfRule type="cellIs" priority="5697" operator="equal" id="{82BE10AE-EFFA-43B8-AB14-3DE080D1FA8E}">
            <xm:f>'Clash Matrix Legend'!$A$9</xm:f>
            <x14:dxf>
              <fill>
                <patternFill>
                  <bgColor theme="8" tint="0.79998168889431442"/>
                </patternFill>
              </fill>
            </x14:dxf>
          </x14:cfRule>
          <x14:cfRule type="cellIs" priority="5696" operator="equal" id="{A2222280-15FA-4870-94E0-1B8E4E0F848C}">
            <xm:f>'Clash Matrix Legend'!$A$10</xm:f>
            <x14:dxf>
              <fill>
                <patternFill>
                  <bgColor theme="8" tint="0.59996337778862885"/>
                </patternFill>
              </fill>
            </x14:dxf>
          </x14:cfRule>
          <x14:cfRule type="cellIs" priority="5695" operator="equal" id="{D34F4473-851D-42B3-AD1B-05A66E085FCF}">
            <xm:f>'Clash Matrix Legend'!$A$11</xm:f>
            <x14:dxf>
              <fill>
                <patternFill>
                  <bgColor theme="8" tint="-0.24994659260841701"/>
                </patternFill>
              </fill>
            </x14:dxf>
          </x14:cfRule>
          <x14:cfRule type="cellIs" priority="5706" operator="equal" id="{0DAAB995-73A6-45E1-8BEA-241A53601CE5}">
            <xm:f>'Clash Matrix Legend'!$A$9</xm:f>
            <x14:dxf>
              <fill>
                <patternFill>
                  <bgColor theme="8" tint="0.79998168889431442"/>
                </patternFill>
              </fill>
            </x14:dxf>
          </x14:cfRule>
          <x14:cfRule type="cellIs" priority="5705" operator="equal" id="{A6DFF0BC-A3D4-4419-B1A5-78D2D7A9D008}">
            <xm:f>'Clash Matrix Legend'!$A$10</xm:f>
            <x14:dxf>
              <fill>
                <patternFill>
                  <bgColor theme="8" tint="0.59996337778862885"/>
                </patternFill>
              </fill>
            </x14:dxf>
          </x14:cfRule>
          <x14:cfRule type="cellIs" priority="5704" operator="equal" id="{1FE5F376-41A3-4D17-B529-03D61CE90500}">
            <xm:f>'Clash Matrix Legend'!$A$11</xm:f>
            <x14:dxf>
              <fill>
                <patternFill>
                  <bgColor theme="8" tint="-0.24994659260841701"/>
                </patternFill>
              </fill>
            </x14:dxf>
          </x14:cfRule>
          <xm:sqref>AG18</xm:sqref>
        </x14:conditionalFormatting>
        <x14:conditionalFormatting xmlns:xm="http://schemas.microsoft.com/office/excel/2006/main">
          <x14:cfRule type="cellIs" priority="5750" operator="equal" id="{F7DEAA3C-0408-4ED7-BA05-E2F63CC0DF59}">
            <xm:f>'Clash Matrix Legend'!$A$12</xm:f>
            <x14:dxf>
              <fill>
                <patternFill>
                  <bgColor theme="8" tint="-0.499984740745262"/>
                </patternFill>
              </fill>
            </x14:dxf>
          </x14:cfRule>
          <x14:cfRule type="cellIs" priority="5748" operator="equal" id="{752632AA-FDF9-41AE-BE2E-CDEFE1A1780E}">
            <xm:f>'Clash Matrix Legend'!$A$9</xm:f>
            <x14:dxf>
              <fill>
                <patternFill>
                  <bgColor theme="8" tint="0.79998168889431442"/>
                </patternFill>
              </fill>
            </x14:dxf>
          </x14:cfRule>
          <x14:cfRule type="cellIs" priority="5747" operator="equal" id="{22DEC4E3-252E-4438-8F24-6DD04052CF5D}">
            <xm:f>'Clash Matrix Legend'!$A$10</xm:f>
            <x14:dxf>
              <fill>
                <patternFill>
                  <bgColor theme="8" tint="0.59996337778862885"/>
                </patternFill>
              </fill>
            </x14:dxf>
          </x14:cfRule>
          <x14:cfRule type="cellIs" priority="5746" operator="equal" id="{B0580BAC-04DD-4877-A1AF-296755C0D55A}">
            <xm:f>'Clash Matrix Legend'!$A$11</xm:f>
            <x14:dxf>
              <fill>
                <patternFill>
                  <bgColor theme="8" tint="-0.24994659260841701"/>
                </patternFill>
              </fill>
            </x14:dxf>
          </x14:cfRule>
          <x14:cfRule type="cellIs" priority="5739" operator="equal" id="{6A6CD991-D2E4-4BA8-9DAC-8223148CE008}">
            <xm:f>'Clash Matrix Legend'!$A$9</xm:f>
            <x14:dxf>
              <fill>
                <patternFill>
                  <bgColor theme="8" tint="0.79998168889431442"/>
                </patternFill>
              </fill>
            </x14:dxf>
          </x14:cfRule>
          <x14:cfRule type="cellIs" priority="5738" operator="equal" id="{EB5999E7-9F23-4616-ABB3-4671059C3B79}">
            <xm:f>'Clash Matrix Legend'!$A$10</xm:f>
            <x14:dxf>
              <fill>
                <patternFill>
                  <bgColor theme="8" tint="0.59996337778862885"/>
                </patternFill>
              </fill>
            </x14:dxf>
          </x14:cfRule>
          <x14:cfRule type="cellIs" priority="5737" operator="equal" id="{5639E5CC-C062-455E-AAD7-1DCDC0D287D5}">
            <xm:f>'Clash Matrix Legend'!$A$11</xm:f>
            <x14:dxf>
              <fill>
                <patternFill>
                  <bgColor theme="8" tint="-0.24994659260841701"/>
                </patternFill>
              </fill>
            </x14:dxf>
          </x14:cfRule>
          <x14:cfRule type="cellIs" priority="5754" operator="equal" id="{17F9568E-8FC0-44F7-8B2D-F38257C61FB4}">
            <xm:f>'Clash Matrix Legend'!$A$11</xm:f>
            <x14:dxf>
              <fill>
                <patternFill>
                  <bgColor theme="8" tint="-0.24994659260841701"/>
                </patternFill>
              </fill>
            </x14:dxf>
          </x14:cfRule>
          <x14:cfRule type="cellIs" priority="5755" operator="equal" id="{360B5936-8DA1-4F41-80BF-C66CF621C579}">
            <xm:f>'Clash Matrix Legend'!$A$10</xm:f>
            <x14:dxf>
              <fill>
                <patternFill>
                  <bgColor theme="8" tint="0.59996337778862885"/>
                </patternFill>
              </fill>
            </x14:dxf>
          </x14:cfRule>
          <x14:cfRule type="cellIs" priority="5756" operator="equal" id="{D0B69513-DC12-4B6C-A9CA-2BB42C9C4E0A}">
            <xm:f>'Clash Matrix Legend'!$A$9</xm:f>
            <x14:dxf>
              <fill>
                <patternFill>
                  <bgColor theme="8" tint="0.79998168889431442"/>
                </patternFill>
              </fill>
            </x14:dxf>
          </x14:cfRule>
          <x14:cfRule type="cellIs" priority="5759" operator="equal" id="{565B7297-BB5C-4E77-B552-A3B1F1041658}">
            <xm:f>'Clash Matrix Legend'!$A$12</xm:f>
            <x14:dxf>
              <fill>
                <patternFill>
                  <bgColor theme="8" tint="-0.499984740745262"/>
                </patternFill>
              </fill>
            </x14:dxf>
          </x14:cfRule>
          <x14:cfRule type="cellIs" priority="5724" operator="equal" id="{FC059791-3A53-4901-A944-D270CD54787E}">
            <xm:f>'Clash Matrix Legend'!$A$12</xm:f>
            <x14:dxf>
              <fill>
                <patternFill>
                  <bgColor theme="8" tint="-0.499984740745262"/>
                </patternFill>
              </fill>
            </x14:dxf>
          </x14:cfRule>
          <x14:cfRule type="cellIs" priority="5728" operator="equal" id="{D99D3192-D3C1-477C-8327-48BE220913F3}">
            <xm:f>'Clash Matrix Legend'!$A$11</xm:f>
            <x14:dxf>
              <fill>
                <patternFill>
                  <bgColor theme="8" tint="-0.24994659260841701"/>
                </patternFill>
              </fill>
            </x14:dxf>
          </x14:cfRule>
          <x14:cfRule type="cellIs" priority="5729" operator="equal" id="{943BB336-1961-45F3-8A5E-AFA6F9403673}">
            <xm:f>'Clash Matrix Legend'!$A$10</xm:f>
            <x14:dxf>
              <fill>
                <patternFill>
                  <bgColor theme="8" tint="0.59996337778862885"/>
                </patternFill>
              </fill>
            </x14:dxf>
          </x14:cfRule>
          <x14:cfRule type="cellIs" priority="5763" operator="equal" id="{A27EA331-74CB-46A6-94D7-529F84FE076E}">
            <xm:f>'Clash Matrix Legend'!$A$11</xm:f>
            <x14:dxf>
              <fill>
                <patternFill>
                  <bgColor theme="8" tint="-0.24994659260841701"/>
                </patternFill>
              </fill>
            </x14:dxf>
          </x14:cfRule>
          <x14:cfRule type="cellIs" priority="5764" operator="equal" id="{0B922DEF-E556-4620-9950-CFD7BCDB67CF}">
            <xm:f>'Clash Matrix Legend'!$A$10</xm:f>
            <x14:dxf>
              <fill>
                <patternFill>
                  <bgColor theme="8" tint="0.59996337778862885"/>
                </patternFill>
              </fill>
            </x14:dxf>
          </x14:cfRule>
          <x14:cfRule type="cellIs" priority="5765" operator="equal" id="{D2296517-A1E1-4E84-890B-A21831438A21}">
            <xm:f>'Clash Matrix Legend'!$A$9</xm:f>
            <x14:dxf>
              <fill>
                <patternFill>
                  <bgColor theme="8" tint="0.79998168889431442"/>
                </patternFill>
              </fill>
            </x14:dxf>
          </x14:cfRule>
          <x14:cfRule type="cellIs" priority="5730" operator="equal" id="{7A50F35D-94EC-44B0-83A5-3E7E54AD605C}">
            <xm:f>'Clash Matrix Legend'!$A$9</xm:f>
            <x14:dxf>
              <fill>
                <patternFill>
                  <bgColor theme="8" tint="0.79998168889431442"/>
                </patternFill>
              </fill>
            </x14:dxf>
          </x14:cfRule>
          <x14:cfRule type="cellIs" priority="5733" operator="equal" id="{CE13983F-D357-4000-9F5D-7B016EA2037A}">
            <xm:f>'Clash Matrix Legend'!$A$12</xm:f>
            <x14:dxf>
              <fill>
                <patternFill>
                  <bgColor theme="8" tint="-0.499984740745262"/>
                </patternFill>
              </fill>
            </x14:dxf>
          </x14:cfRule>
          <x14:cfRule type="cellIs" priority="5742" operator="equal" id="{02EAE991-E0C8-412D-8BE2-D398E3D0CA20}">
            <xm:f>'Clash Matrix Legend'!$A$12</xm:f>
            <x14:dxf>
              <fill>
                <patternFill>
                  <bgColor theme="8" tint="-0.499984740745262"/>
                </patternFill>
              </fill>
            </x14:dxf>
          </x14:cfRule>
          <xm:sqref>AG20</xm:sqref>
        </x14:conditionalFormatting>
        <x14:conditionalFormatting xmlns:xm="http://schemas.microsoft.com/office/excel/2006/main">
          <x14:cfRule type="cellIs" priority="7338" operator="equal" id="{044622D8-D37E-4538-94FB-DA8419D9E65B}">
            <xm:f>'Clash Matrix Legend'!$A$10</xm:f>
            <x14:dxf>
              <fill>
                <patternFill>
                  <bgColor theme="8" tint="-0.24994659260841701"/>
                </patternFill>
              </fill>
            </x14:dxf>
          </x14:cfRule>
          <x14:cfRule type="cellIs" priority="7339" operator="equal" id="{8BF42994-B70D-4CEF-826F-F72AEC24441D}">
            <xm:f>'Clash Matrix Legend'!$A$9</xm:f>
            <x14:dxf>
              <fill>
                <patternFill>
                  <bgColor theme="8" tint="0.59996337778862885"/>
                </patternFill>
              </fill>
            </x14:dxf>
          </x14:cfRule>
          <x14:cfRule type="cellIs" priority="7340" operator="equal" id="{827A7575-9026-451F-BDAB-4E73D65ED7EB}">
            <xm:f>'Clash Matrix Legend'!#REF!</xm:f>
            <x14:dxf>
              <fill>
                <patternFill>
                  <bgColor theme="8" tint="0.79998168889431442"/>
                </patternFill>
              </fill>
            </x14:dxf>
          </x14:cfRule>
          <x14:cfRule type="cellIs" priority="7343" operator="equal" id="{1D866AAF-477A-4C8F-8B7E-6A1348297BB2}">
            <xm:f>'Clash Matrix Legend'!$A$11</xm:f>
            <x14:dxf>
              <fill>
                <patternFill>
                  <bgColor theme="8" tint="-0.499984740745262"/>
                </patternFill>
              </fill>
            </x14:dxf>
          </x14:cfRule>
          <x14:cfRule type="cellIs" priority="7347" operator="equal" id="{E15743E3-A055-42C7-9C29-97450F416D0A}">
            <xm:f>'Clash Matrix Legend'!$A$10</xm:f>
            <x14:dxf>
              <fill>
                <patternFill>
                  <bgColor theme="8" tint="-0.24994659260841701"/>
                </patternFill>
              </fill>
            </x14:dxf>
          </x14:cfRule>
          <x14:cfRule type="cellIs" priority="7348" operator="equal" id="{4BA9BAF5-9892-4E5C-820F-F92A8E7E9BE2}">
            <xm:f>'Clash Matrix Legend'!$A$9</xm:f>
            <x14:dxf>
              <fill>
                <patternFill>
                  <bgColor theme="8" tint="0.59996337778862885"/>
                </patternFill>
              </fill>
            </x14:dxf>
          </x14:cfRule>
          <x14:cfRule type="cellIs" priority="7349" operator="equal" id="{48B4103A-77EF-4E7A-BFDE-A316086620EB}">
            <xm:f>'Clash Matrix Legend'!#REF!</xm:f>
            <x14:dxf>
              <fill>
                <patternFill>
                  <bgColor theme="8" tint="0.79998168889431442"/>
                </patternFill>
              </fill>
            </x14:dxf>
          </x14:cfRule>
          <x14:cfRule type="cellIs" priority="7352" operator="equal" id="{3C2F8223-8D90-43D8-87D6-AB842914E8A9}">
            <xm:f>'Clash Matrix Legend'!$A$11</xm:f>
            <x14:dxf>
              <fill>
                <patternFill>
                  <bgColor theme="8" tint="-0.499984740745262"/>
                </patternFill>
              </fill>
            </x14:dxf>
          </x14:cfRule>
          <x14:cfRule type="cellIs" priority="7356" operator="equal" id="{53262023-0C85-4EED-93F1-77C35A679759}">
            <xm:f>'Clash Matrix Legend'!$A$10</xm:f>
            <x14:dxf>
              <fill>
                <patternFill>
                  <bgColor theme="8" tint="-0.24994659260841701"/>
                </patternFill>
              </fill>
            </x14:dxf>
          </x14:cfRule>
          <x14:cfRule type="cellIs" priority="7357" operator="equal" id="{ED819643-C778-4ADD-BC47-F5E87B3E3029}">
            <xm:f>'Clash Matrix Legend'!$A$9</xm:f>
            <x14:dxf>
              <fill>
                <patternFill>
                  <bgColor theme="8" tint="0.59996337778862885"/>
                </patternFill>
              </fill>
            </x14:dxf>
          </x14:cfRule>
          <x14:cfRule type="cellIs" priority="7358" operator="equal" id="{F80FDB8A-BA4E-46A3-8481-5A3A82FEE442}">
            <xm:f>'Clash Matrix Legend'!#REF!</xm:f>
            <x14:dxf>
              <fill>
                <patternFill>
                  <bgColor theme="8" tint="0.79998168889431442"/>
                </patternFill>
              </fill>
            </x14:dxf>
          </x14:cfRule>
          <x14:cfRule type="cellIs" priority="7360" operator="equal" id="{1E5A35E1-5E1D-4277-B54C-9E7F2B528BEC}">
            <xm:f>'Clash Matrix Legend'!$A$11</xm:f>
            <x14:dxf>
              <fill>
                <patternFill>
                  <bgColor theme="8" tint="-0.499984740745262"/>
                </patternFill>
              </fill>
            </x14:dxf>
          </x14:cfRule>
          <x14:cfRule type="cellIs" priority="7364" operator="equal" id="{EF1DC922-75A2-40F6-8870-472F69841D19}">
            <xm:f>'Clash Matrix Legend'!$A$10</xm:f>
            <x14:dxf>
              <fill>
                <patternFill>
                  <bgColor theme="8" tint="-0.24994659260841701"/>
                </patternFill>
              </fill>
            </x14:dxf>
          </x14:cfRule>
          <x14:cfRule type="cellIs" priority="7365" operator="equal" id="{6F9717E5-B585-4061-A48D-AE5B02737FC8}">
            <xm:f>'Clash Matrix Legend'!$A$9</xm:f>
            <x14:dxf>
              <fill>
                <patternFill>
                  <bgColor theme="8" tint="0.59996337778862885"/>
                </patternFill>
              </fill>
            </x14:dxf>
          </x14:cfRule>
          <x14:cfRule type="cellIs" priority="7366" operator="equal" id="{CC1DD2C5-BD9F-49CD-BBBE-54500516B58B}">
            <xm:f>'Clash Matrix Legend'!#REF!</xm:f>
            <x14:dxf>
              <fill>
                <patternFill>
                  <bgColor theme="8" tint="0.79998168889431442"/>
                </patternFill>
              </fill>
            </x14:dxf>
          </x14:cfRule>
          <x14:cfRule type="cellIs" priority="7369" operator="equal" id="{EEAD7696-FFCF-4D60-ACF4-BDB12DA9AFF4}">
            <xm:f>'Clash Matrix Legend'!$A$11</xm:f>
            <x14:dxf>
              <fill>
                <patternFill>
                  <bgColor theme="8" tint="-0.499984740745262"/>
                </patternFill>
              </fill>
            </x14:dxf>
          </x14:cfRule>
          <x14:cfRule type="cellIs" priority="7373" operator="equal" id="{37AC9DA7-D719-497B-91D5-781EF5633C94}">
            <xm:f>'Clash Matrix Legend'!$A$10</xm:f>
            <x14:dxf>
              <fill>
                <patternFill>
                  <bgColor theme="8" tint="-0.24994659260841701"/>
                </patternFill>
              </fill>
            </x14:dxf>
          </x14:cfRule>
          <x14:cfRule type="cellIs" priority="7374" operator="equal" id="{B7D2D672-0636-43E8-849F-DF761113EE68}">
            <xm:f>'Clash Matrix Legend'!$A$9</xm:f>
            <x14:dxf>
              <fill>
                <patternFill>
                  <bgColor theme="8" tint="0.59996337778862885"/>
                </patternFill>
              </fill>
            </x14:dxf>
          </x14:cfRule>
          <x14:cfRule type="cellIs" priority="7375" operator="equal" id="{7FAC194A-AEA1-434B-8280-97D3736175F6}">
            <xm:f>'Clash Matrix Legend'!#REF!</xm:f>
            <x14:dxf>
              <fill>
                <patternFill>
                  <bgColor theme="8" tint="0.79998168889431442"/>
                </patternFill>
              </fill>
            </x14:dxf>
          </x14:cfRule>
          <x14:cfRule type="cellIs" priority="7334" operator="equal" id="{574564B2-953D-4E7E-B9D9-EB980312FCD3}">
            <xm:f>'Clash Matrix Legend'!$A$11</xm:f>
            <x14:dxf>
              <fill>
                <patternFill>
                  <bgColor theme="8" tint="-0.499984740745262"/>
                </patternFill>
              </fill>
            </x14:dxf>
          </x14:cfRule>
          <xm:sqref>AG22</xm:sqref>
        </x14:conditionalFormatting>
        <x14:conditionalFormatting xmlns:xm="http://schemas.microsoft.com/office/excel/2006/main">
          <x14:cfRule type="cellIs" priority="2159" operator="equal" id="{2B0A42B2-0F2A-49DE-B99E-9FDB9B8C962D}">
            <xm:f>'Clash Matrix Legend'!$A$11</xm:f>
            <x14:dxf>
              <fill>
                <patternFill>
                  <bgColor theme="8" tint="-0.499984740745262"/>
                </patternFill>
              </fill>
            </x14:dxf>
          </x14:cfRule>
          <xm:sqref>AG36</xm:sqref>
        </x14:conditionalFormatting>
        <x14:conditionalFormatting xmlns:xm="http://schemas.microsoft.com/office/excel/2006/main">
          <x14:cfRule type="cellIs" priority="2133" operator="equal" id="{7B7B18CF-03C0-4F61-90D6-8085EC061291}">
            <xm:f>'Clash Matrix Legend'!$A$11</xm:f>
            <x14:dxf>
              <fill>
                <patternFill>
                  <bgColor theme="8" tint="-0.499984740745262"/>
                </patternFill>
              </fill>
            </x14:dxf>
          </x14:cfRule>
          <xm:sqref>AG38</xm:sqref>
        </x14:conditionalFormatting>
        <x14:conditionalFormatting xmlns:xm="http://schemas.microsoft.com/office/excel/2006/main">
          <x14:cfRule type="cellIs" priority="185" operator="equal" id="{559A3DAD-F7F9-457D-8F64-AFFFFFB097AB}">
            <xm:f>'Clash Matrix Legend'!$A$11</xm:f>
            <x14:dxf>
              <fill>
                <patternFill>
                  <bgColor theme="8" tint="-0.499984740745262"/>
                </patternFill>
              </fill>
            </x14:dxf>
          </x14:cfRule>
          <x14:cfRule type="cellIs" priority="203" operator="equal" id="{EFDD3933-EBBC-4B7B-9CA2-86AC7808AC6F}">
            <xm:f>'Clash Matrix Legend'!$A$9</xm:f>
            <x14:dxf>
              <fill>
                <patternFill>
                  <bgColor theme="8" tint="0.59996337778862885"/>
                </patternFill>
              </fill>
            </x14:dxf>
          </x14:cfRule>
          <x14:cfRule type="cellIs" priority="204" operator="equal" id="{B0CC6761-CBDF-4EEB-886B-BA43E40A1952}">
            <xm:f>'Clash Matrix Legend'!#REF!</xm:f>
            <x14:dxf>
              <fill>
                <patternFill>
                  <bgColor theme="8" tint="0.79998168889431442"/>
                </patternFill>
              </fill>
            </x14:dxf>
          </x14:cfRule>
          <x14:cfRule type="cellIs" priority="208" operator="equal" id="{76791373-38CA-408D-9F9D-D13F14E85053}">
            <xm:f>'Clash Matrix Legend'!$A$11</xm:f>
            <x14:dxf>
              <fill>
                <patternFill>
                  <bgColor theme="8" tint="-0.499984740745262"/>
                </patternFill>
              </fill>
            </x14:dxf>
          </x14:cfRule>
          <x14:cfRule type="cellIs" priority="212" operator="equal" id="{39115D1E-E763-4156-BEED-CBB87641B51E}">
            <xm:f>'Clash Matrix Legend'!$A$10</xm:f>
            <x14:dxf>
              <fill>
                <patternFill>
                  <bgColor theme="8" tint="-0.24994659260841701"/>
                </patternFill>
              </fill>
            </x14:dxf>
          </x14:cfRule>
          <x14:cfRule type="cellIs" priority="213" operator="equal" id="{1F0768C2-3421-4C94-BBAF-D38590CFBBE1}">
            <xm:f>'Clash Matrix Legend'!$A$9</xm:f>
            <x14:dxf>
              <fill>
                <patternFill>
                  <bgColor theme="8" tint="0.59996337778862885"/>
                </patternFill>
              </fill>
            </x14:dxf>
          </x14:cfRule>
          <x14:cfRule type="cellIs" priority="214" operator="equal" id="{E0882D36-5B31-4095-A8A9-BC934B614DAE}">
            <xm:f>'Clash Matrix Legend'!#REF!</xm:f>
            <x14:dxf>
              <fill>
                <patternFill>
                  <bgColor theme="8" tint="0.79998168889431442"/>
                </patternFill>
              </fill>
            </x14:dxf>
          </x14:cfRule>
          <x14:cfRule type="cellIs" priority="1863" operator="equal" id="{79839E05-95F0-4180-AA10-BA47C240AE4A}">
            <xm:f>'Clash Matrix Legend'!$A$11</xm:f>
            <x14:dxf>
              <fill>
                <patternFill>
                  <bgColor theme="8" tint="-0.499984740745262"/>
                </patternFill>
              </fill>
            </x14:dxf>
          </x14:cfRule>
          <x14:cfRule type="cellIs" priority="7396" operator="equal" id="{DBC07C60-BFF7-4372-B36C-996103438F6F}">
            <xm:f>'Clash Matrix Legend'!$A$10</xm:f>
            <x14:dxf>
              <fill>
                <patternFill>
                  <bgColor theme="8" tint="-0.24994659260841701"/>
                </patternFill>
              </fill>
            </x14:dxf>
          </x14:cfRule>
          <x14:cfRule type="cellIs" priority="7397" operator="equal" id="{42C9D192-0ED5-498E-9284-7AE903217E8D}">
            <xm:f>'Clash Matrix Legend'!$A$9</xm:f>
            <x14:dxf>
              <fill>
                <patternFill>
                  <bgColor theme="8" tint="0.59996337778862885"/>
                </patternFill>
              </fill>
            </x14:dxf>
          </x14:cfRule>
          <x14:cfRule type="cellIs" priority="7398" operator="equal" id="{06BF929A-B1DB-462B-9357-8DC3CDE6F6DC}">
            <xm:f>'Clash Matrix Legend'!#REF!</xm:f>
            <x14:dxf>
              <fill>
                <patternFill>
                  <bgColor theme="8" tint="0.79998168889431442"/>
                </patternFill>
              </fill>
            </x14:dxf>
          </x14:cfRule>
          <x14:cfRule type="cellIs" priority="7402" operator="equal" id="{F8E89915-E163-4955-8E5F-A10E518243C6}">
            <xm:f>'Clash Matrix Legend'!$A$11</xm:f>
            <x14:dxf>
              <fill>
                <patternFill>
                  <bgColor theme="8" tint="-0.499984740745262"/>
                </patternFill>
              </fill>
            </x14:dxf>
          </x14:cfRule>
          <x14:cfRule type="cellIs" priority="7406" operator="equal" id="{29550EA8-1CE1-463D-B3B7-7504CB0CF20D}">
            <xm:f>'Clash Matrix Legend'!$A$10</xm:f>
            <x14:dxf>
              <fill>
                <patternFill>
                  <bgColor theme="8" tint="-0.24994659260841701"/>
                </patternFill>
              </fill>
            </x14:dxf>
          </x14:cfRule>
          <x14:cfRule type="cellIs" priority="7407" operator="equal" id="{C9EAD7B1-A6B0-42C9-B127-48370F7B3046}">
            <xm:f>'Clash Matrix Legend'!$A$9</xm:f>
            <x14:dxf>
              <fill>
                <patternFill>
                  <bgColor theme="8" tint="0.59996337778862885"/>
                </patternFill>
              </fill>
            </x14:dxf>
          </x14:cfRule>
          <x14:cfRule type="cellIs" priority="7408" operator="equal" id="{36B6D604-B617-414A-9353-77355E61B9DC}">
            <xm:f>'Clash Matrix Legend'!#REF!</xm:f>
            <x14:dxf>
              <fill>
                <patternFill>
                  <bgColor theme="8" tint="0.79998168889431442"/>
                </patternFill>
              </fill>
            </x14:dxf>
          </x14:cfRule>
          <x14:cfRule type="cellIs" priority="1874" operator="equal" id="{2D88D8E7-D3A3-4FEA-A46F-600CAF4B18FF}">
            <xm:f>'Clash Matrix Legend'!#REF!</xm:f>
            <x14:dxf>
              <fill>
                <patternFill>
                  <bgColor theme="8" tint="0.79998168889431442"/>
                </patternFill>
              </fill>
            </x14:dxf>
          </x14:cfRule>
          <x14:cfRule type="cellIs" priority="1873" operator="equal" id="{65E15438-F539-4BA9-B38D-CD5726B72BA2}">
            <xm:f>'Clash Matrix Legend'!$A$9</xm:f>
            <x14:dxf>
              <fill>
                <patternFill>
                  <bgColor theme="8" tint="0.59996337778862885"/>
                </patternFill>
              </fill>
            </x14:dxf>
          </x14:cfRule>
          <x14:cfRule type="cellIs" priority="1872" operator="equal" id="{8421F4A1-55C7-4F0B-8626-52E8F408341E}">
            <xm:f>'Clash Matrix Legend'!$A$10</xm:f>
            <x14:dxf>
              <fill>
                <patternFill>
                  <bgColor theme="8" tint="-0.24994659260841701"/>
                </patternFill>
              </fill>
            </x14:dxf>
          </x14:cfRule>
          <x14:cfRule type="cellIs" priority="1869" operator="equal" id="{F61F2ECF-592B-4A70-81BA-765FD8A39EDE}">
            <xm:f>'Clash Matrix Legend'!#REF!</xm:f>
            <x14:dxf>
              <fill>
                <patternFill>
                  <bgColor theme="8" tint="0.79998168889431442"/>
                </patternFill>
              </fill>
            </x14:dxf>
          </x14:cfRule>
          <x14:cfRule type="cellIs" priority="1868" operator="equal" id="{12004C34-F720-43DE-B8E2-B17F5696A1C0}">
            <xm:f>'Clash Matrix Legend'!$A$9</xm:f>
            <x14:dxf>
              <fill>
                <patternFill>
                  <bgColor theme="8" tint="0.59996337778862885"/>
                </patternFill>
              </fill>
            </x14:dxf>
          </x14:cfRule>
          <x14:cfRule type="cellIs" priority="1867" operator="equal" id="{901F3BFC-AA59-452E-B0BC-F63CEB580C1D}">
            <xm:f>'Clash Matrix Legend'!$A$10</xm:f>
            <x14:dxf>
              <fill>
                <patternFill>
                  <bgColor theme="8" tint="-0.24994659260841701"/>
                </patternFill>
              </fill>
            </x14:dxf>
          </x14:cfRule>
          <x14:cfRule type="cellIs" priority="97" operator="equal" id="{342126B5-6B07-498D-BC3F-9F40F96BC4E1}">
            <xm:f>'Clash Matrix Legend'!$A$11</xm:f>
            <x14:dxf>
              <fill>
                <patternFill>
                  <bgColor theme="8" tint="-0.499984740745262"/>
                </patternFill>
              </fill>
            </x14:dxf>
          </x14:cfRule>
          <x14:cfRule type="cellIs" priority="123" operator="equal" id="{54E4C417-54A2-49CB-B116-DA605FDC08B9}">
            <xm:f>'Clash Matrix Legend'!$A$11</xm:f>
            <x14:dxf>
              <fill>
                <patternFill>
                  <bgColor theme="8" tint="-0.499984740745262"/>
                </patternFill>
              </fill>
            </x14:dxf>
          </x14:cfRule>
          <x14:cfRule type="cellIs" priority="126" operator="equal" id="{3A980DFF-E0B7-4DC4-9526-734EC121648A}">
            <xm:f>'Clash Matrix Legend'!$A$11</xm:f>
            <x14:dxf>
              <fill>
                <patternFill>
                  <bgColor theme="8" tint="-0.499984740745262"/>
                </patternFill>
              </fill>
            </x14:dxf>
          </x14:cfRule>
          <x14:cfRule type="cellIs" priority="130" operator="equal" id="{889AEEBB-EC1D-4692-9FE2-7B2259017D98}">
            <xm:f>'Clash Matrix Legend'!$A$10</xm:f>
            <x14:dxf>
              <fill>
                <patternFill>
                  <bgColor theme="8" tint="-0.24994659260841701"/>
                </patternFill>
              </fill>
            </x14:dxf>
          </x14:cfRule>
          <x14:cfRule type="cellIs" priority="131" operator="equal" id="{E89ACA6B-779C-4432-8DD1-81BBDDAC9A25}">
            <xm:f>'Clash Matrix Legend'!$A$9</xm:f>
            <x14:dxf>
              <fill>
                <patternFill>
                  <bgColor theme="8" tint="0.59996337778862885"/>
                </patternFill>
              </fill>
            </x14:dxf>
          </x14:cfRule>
          <x14:cfRule type="cellIs" priority="132" operator="equal" id="{DEB7B6FC-0296-4C2B-90CF-0D574558F7B6}">
            <xm:f>'Clash Matrix Legend'!#REF!</xm:f>
            <x14:dxf>
              <fill>
                <patternFill>
                  <bgColor theme="8" tint="0.79998168889431442"/>
                </patternFill>
              </fill>
            </x14:dxf>
          </x14:cfRule>
          <x14:cfRule type="cellIs" priority="133" operator="equal" id="{0A240FD5-5A06-49A7-B1A7-058F0A73CCB3}">
            <xm:f>'Clash Matrix Legend'!$A$11</xm:f>
            <x14:dxf>
              <fill>
                <patternFill>
                  <bgColor theme="8" tint="-0.499984740745262"/>
                </patternFill>
              </fill>
            </x14:dxf>
          </x14:cfRule>
          <x14:cfRule type="cellIs" priority="137" operator="equal" id="{B48610E0-CF1E-4C8F-9895-C63CAAB71AC3}">
            <xm:f>'Clash Matrix Legend'!$A$10</xm:f>
            <x14:dxf>
              <fill>
                <patternFill>
                  <bgColor theme="8" tint="-0.24994659260841701"/>
                </patternFill>
              </fill>
            </x14:dxf>
          </x14:cfRule>
          <x14:cfRule type="cellIs" priority="138" operator="equal" id="{008B62F2-4CFD-4E8A-93F3-ACA9C0AA600B}">
            <xm:f>'Clash Matrix Legend'!$A$9</xm:f>
            <x14:dxf>
              <fill>
                <patternFill>
                  <bgColor theme="8" tint="0.59996337778862885"/>
                </patternFill>
              </fill>
            </x14:dxf>
          </x14:cfRule>
          <x14:cfRule type="cellIs" priority="139" operator="equal" id="{6A41D405-5900-4355-B0D5-A7E320313219}">
            <xm:f>'Clash Matrix Legend'!#REF!</xm:f>
            <x14:dxf>
              <fill>
                <patternFill>
                  <bgColor theme="8" tint="0.79998168889431442"/>
                </patternFill>
              </fill>
            </x14:dxf>
          </x14:cfRule>
          <x14:cfRule type="cellIs" priority="142" operator="equal" id="{78256763-F8D8-43B5-9CD5-63BA15F9B503}">
            <xm:f>'Clash Matrix Legend'!$A$11</xm:f>
            <x14:dxf>
              <fill>
                <patternFill>
                  <bgColor theme="8" tint="-0.499984740745262"/>
                </patternFill>
              </fill>
            </x14:dxf>
          </x14:cfRule>
          <x14:cfRule type="cellIs" priority="146" operator="equal" id="{D4DD972A-BD76-468E-8D42-3EDE85CC53D2}">
            <xm:f>'Clash Matrix Legend'!$A$10</xm:f>
            <x14:dxf>
              <fill>
                <patternFill>
                  <bgColor theme="8" tint="-0.24994659260841701"/>
                </patternFill>
              </fill>
            </x14:dxf>
          </x14:cfRule>
          <x14:cfRule type="cellIs" priority="147" operator="equal" id="{0C587384-275E-414A-BF59-AFDB7250565C}">
            <xm:f>'Clash Matrix Legend'!$A$9</xm:f>
            <x14:dxf>
              <fill>
                <patternFill>
                  <bgColor theme="8" tint="0.59996337778862885"/>
                </patternFill>
              </fill>
            </x14:dxf>
          </x14:cfRule>
          <x14:cfRule type="cellIs" priority="148" operator="equal" id="{A488A6B4-8179-4455-A1AA-D43BF6BAE3F8}">
            <xm:f>'Clash Matrix Legend'!#REF!</xm:f>
            <x14:dxf>
              <fill>
                <patternFill>
                  <bgColor theme="8" tint="0.79998168889431442"/>
                </patternFill>
              </fill>
            </x14:dxf>
          </x14:cfRule>
          <x14:cfRule type="cellIs" priority="150" operator="equal" id="{D2B880FF-8A85-4272-BF81-9CC4025D0E45}">
            <xm:f>'Clash Matrix Legend'!$A$11</xm:f>
            <x14:dxf>
              <fill>
                <patternFill>
                  <bgColor theme="8" tint="-0.499984740745262"/>
                </patternFill>
              </fill>
            </x14:dxf>
          </x14:cfRule>
          <x14:cfRule type="cellIs" priority="154" operator="equal" id="{D3D86058-B9C5-4A87-B6CC-470029ED9C65}">
            <xm:f>'Clash Matrix Legend'!$A$10</xm:f>
            <x14:dxf>
              <fill>
                <patternFill>
                  <bgColor theme="8" tint="-0.24994659260841701"/>
                </patternFill>
              </fill>
            </x14:dxf>
          </x14:cfRule>
          <x14:cfRule type="cellIs" priority="155" operator="equal" id="{82E87BA8-DE05-4984-9708-AF8D44D6C0A5}">
            <xm:f>'Clash Matrix Legend'!$A$9</xm:f>
            <x14:dxf>
              <fill>
                <patternFill>
                  <bgColor theme="8" tint="0.59996337778862885"/>
                </patternFill>
              </fill>
            </x14:dxf>
          </x14:cfRule>
          <x14:cfRule type="cellIs" priority="156" operator="equal" id="{8F99A24A-BCC8-439A-8208-E745CB993085}">
            <xm:f>'Clash Matrix Legend'!#REF!</xm:f>
            <x14:dxf>
              <fill>
                <patternFill>
                  <bgColor theme="8" tint="0.79998168889431442"/>
                </patternFill>
              </fill>
            </x14:dxf>
          </x14:cfRule>
          <x14:cfRule type="cellIs" priority="163" operator="equal" id="{D4607105-6F2F-4DEA-95CA-4A7F0BBD5C3E}">
            <xm:f>'Clash Matrix Legend'!$A$11</xm:f>
            <x14:dxf>
              <fill>
                <patternFill>
                  <bgColor theme="8" tint="-0.499984740745262"/>
                </patternFill>
              </fill>
            </x14:dxf>
          </x14:cfRule>
          <x14:cfRule type="cellIs" priority="167" operator="equal" id="{96BD51A7-D082-43AB-B705-F37DDAE16397}">
            <xm:f>'Clash Matrix Legend'!$A$10</xm:f>
            <x14:dxf>
              <fill>
                <patternFill>
                  <bgColor theme="8" tint="-0.24994659260841701"/>
                </patternFill>
              </fill>
            </x14:dxf>
          </x14:cfRule>
          <x14:cfRule type="cellIs" priority="168" operator="equal" id="{4F08DC91-CE18-49B8-8BF0-85C57D0F664A}">
            <xm:f>'Clash Matrix Legend'!$A$9</xm:f>
            <x14:dxf>
              <fill>
                <patternFill>
                  <bgColor theme="8" tint="0.59996337778862885"/>
                </patternFill>
              </fill>
            </x14:dxf>
          </x14:cfRule>
          <x14:cfRule type="cellIs" priority="169" operator="equal" id="{54AFD532-7BD6-46C6-A582-EEE272763F89}">
            <xm:f>'Clash Matrix Legend'!#REF!</xm:f>
            <x14:dxf>
              <fill>
                <patternFill>
                  <bgColor theme="8" tint="0.79998168889431442"/>
                </patternFill>
              </fill>
            </x14:dxf>
          </x14:cfRule>
          <x14:cfRule type="cellIs" priority="170" operator="equal" id="{B313C7E5-BF95-4180-AFE9-D9697624B8CA}">
            <xm:f>'Clash Matrix Legend'!$A$11</xm:f>
            <x14:dxf>
              <fill>
                <patternFill>
                  <bgColor theme="8" tint="-0.499984740745262"/>
                </patternFill>
              </fill>
            </x14:dxf>
          </x14:cfRule>
          <x14:cfRule type="cellIs" priority="173" operator="equal" id="{143195F1-4A13-4EF9-A0DB-A861ED5D2AFE}">
            <xm:f>'Clash Matrix Legend'!$A$10</xm:f>
            <x14:dxf>
              <fill>
                <patternFill>
                  <bgColor theme="8" tint="-0.24994659260841701"/>
                </patternFill>
              </fill>
            </x14:dxf>
          </x14:cfRule>
          <x14:cfRule type="cellIs" priority="174" operator="equal" id="{DD482099-F8A8-4685-A99A-953CB7AA6B63}">
            <xm:f>'Clash Matrix Legend'!$A$9</xm:f>
            <x14:dxf>
              <fill>
                <patternFill>
                  <bgColor theme="8" tint="0.59996337778862885"/>
                </patternFill>
              </fill>
            </x14:dxf>
          </x14:cfRule>
          <x14:cfRule type="cellIs" priority="175" operator="equal" id="{DB736AB3-C976-44C2-AE30-3CFBD8DB2590}">
            <xm:f>'Clash Matrix Legend'!#REF!</xm:f>
            <x14:dxf>
              <fill>
                <patternFill>
                  <bgColor theme="8" tint="0.79998168889431442"/>
                </patternFill>
              </fill>
            </x14:dxf>
          </x14:cfRule>
          <x14:cfRule type="cellIs" priority="177" operator="equal" id="{206C9005-77FF-4791-A765-A713E6D9363F}">
            <xm:f>'Clash Matrix Legend'!$A$11</xm:f>
            <x14:dxf>
              <fill>
                <patternFill>
                  <bgColor theme="8" tint="-0.499984740745262"/>
                </patternFill>
              </fill>
            </x14:dxf>
          </x14:cfRule>
          <x14:cfRule type="cellIs" priority="181" operator="equal" id="{158A5208-CC95-415A-8B3B-42077A11372F}">
            <xm:f>'Clash Matrix Legend'!$A$10</xm:f>
            <x14:dxf>
              <fill>
                <patternFill>
                  <bgColor theme="8" tint="-0.24994659260841701"/>
                </patternFill>
              </fill>
            </x14:dxf>
          </x14:cfRule>
          <x14:cfRule type="cellIs" priority="182" operator="equal" id="{E170CFB9-860D-4535-A980-097D52692756}">
            <xm:f>'Clash Matrix Legend'!$A$9</xm:f>
            <x14:dxf>
              <fill>
                <patternFill>
                  <bgColor theme="8" tint="0.59996337778862885"/>
                </patternFill>
              </fill>
            </x14:dxf>
          </x14:cfRule>
          <x14:cfRule type="cellIs" priority="183" operator="equal" id="{F7519D80-9FD3-4535-BFB1-F7224B779A7D}">
            <xm:f>'Clash Matrix Legend'!#REF!</xm:f>
            <x14:dxf>
              <fill>
                <patternFill>
                  <bgColor theme="8" tint="0.79998168889431442"/>
                </patternFill>
              </fill>
            </x14:dxf>
          </x14:cfRule>
          <x14:cfRule type="cellIs" priority="189" operator="equal" id="{C5634C72-C6EE-4653-A05A-4F0534592A05}">
            <xm:f>'Clash Matrix Legend'!$A$10</xm:f>
            <x14:dxf>
              <fill>
                <patternFill>
                  <bgColor theme="8" tint="-0.24994659260841701"/>
                </patternFill>
              </fill>
            </x14:dxf>
          </x14:cfRule>
          <x14:cfRule type="cellIs" priority="190" operator="equal" id="{DFAE41FE-2A7A-4AFB-91C0-E25F444C985C}">
            <xm:f>'Clash Matrix Legend'!$A$9</xm:f>
            <x14:dxf>
              <fill>
                <patternFill>
                  <bgColor theme="8" tint="0.59996337778862885"/>
                </patternFill>
              </fill>
            </x14:dxf>
          </x14:cfRule>
          <x14:cfRule type="cellIs" priority="191" operator="equal" id="{590E61D8-0D43-4E86-BB0F-1EDBCA8ADB4D}">
            <xm:f>'Clash Matrix Legend'!#REF!</xm:f>
            <x14:dxf>
              <fill>
                <patternFill>
                  <bgColor theme="8" tint="0.79998168889431442"/>
                </patternFill>
              </fill>
            </x14:dxf>
          </x14:cfRule>
          <x14:cfRule type="cellIs" priority="198" operator="equal" id="{8C8389C5-0F74-40FD-BB06-11F84153A6E5}">
            <xm:f>'Clash Matrix Legend'!$A$11</xm:f>
            <x14:dxf>
              <fill>
                <patternFill>
                  <bgColor theme="8" tint="-0.499984740745262"/>
                </patternFill>
              </fill>
            </x14:dxf>
          </x14:cfRule>
          <x14:cfRule type="cellIs" priority="202" operator="equal" id="{DCCA6F28-5FD5-4D1E-B12B-46C9A4CFDBA2}">
            <xm:f>'Clash Matrix Legend'!$A$10</xm:f>
            <x14:dxf>
              <fill>
                <patternFill>
                  <bgColor theme="8" tint="-0.24994659260841701"/>
                </patternFill>
              </fill>
            </x14:dxf>
          </x14:cfRule>
          <xm:sqref>AG62:AG63</xm:sqref>
        </x14:conditionalFormatting>
        <x14:conditionalFormatting xmlns:xm="http://schemas.microsoft.com/office/excel/2006/main">
          <x14:cfRule type="cellIs" priority="7423" operator="equal" id="{5870CB2F-DFB1-450E-81F2-AEFF5213E20B}">
            <xm:f>'Clash Matrix Legend'!$A$9</xm:f>
            <x14:dxf>
              <fill>
                <patternFill>
                  <bgColor theme="8" tint="0.59996337778862885"/>
                </patternFill>
              </fill>
            </x14:dxf>
          </x14:cfRule>
          <x14:cfRule type="cellIs" priority="7424" operator="equal" id="{89F8894F-2C09-483C-BC6E-7F43C8C8B684}">
            <xm:f>'Clash Matrix Legend'!#REF!</xm:f>
            <x14:dxf>
              <fill>
                <patternFill>
                  <bgColor theme="8" tint="0.79998168889431442"/>
                </patternFill>
              </fill>
            </x14:dxf>
          </x14:cfRule>
          <x14:cfRule type="cellIs" priority="7422" operator="equal" id="{D7249D40-6BC4-4834-9E54-7FBC00CC69C6}">
            <xm:f>'Clash Matrix Legend'!$A$10</xm:f>
            <x14:dxf>
              <fill>
                <patternFill>
                  <bgColor theme="8" tint="-0.24994659260841701"/>
                </patternFill>
              </fill>
            </x14:dxf>
          </x14:cfRule>
          <xm:sqref>AG67 AI67 AJ69:AM69</xm:sqref>
        </x14:conditionalFormatting>
        <x14:conditionalFormatting xmlns:xm="http://schemas.microsoft.com/office/excel/2006/main">
          <x14:cfRule type="cellIs" priority="2526" operator="equal" id="{6464067E-0EFB-42BC-9B51-AFB661787CB3}">
            <xm:f>'Clash Matrix Legend'!$A$10</xm:f>
            <x14:dxf>
              <fill>
                <patternFill>
                  <bgColor theme="8" tint="-0.24994659260841701"/>
                </patternFill>
              </fill>
            </x14:dxf>
          </x14:cfRule>
          <x14:cfRule type="cellIs" priority="2527" operator="equal" id="{3DCD72D2-B89A-48E0-9EE1-EECF7FA8987D}">
            <xm:f>'Clash Matrix Legend'!$A$9</xm:f>
            <x14:dxf>
              <fill>
                <patternFill>
                  <bgColor theme="8" tint="0.59996337778862885"/>
                </patternFill>
              </fill>
            </x14:dxf>
          </x14:cfRule>
          <x14:cfRule type="cellIs" priority="2528" operator="equal" id="{8CA40671-44F0-4732-AEBD-8812955E6F5B}">
            <xm:f>'Clash Matrix Legend'!#REF!</xm:f>
            <x14:dxf>
              <fill>
                <patternFill>
                  <bgColor theme="8" tint="0.79998168889431442"/>
                </patternFill>
              </fill>
            </x14:dxf>
          </x14:cfRule>
          <x14:cfRule type="cellIs" priority="2522" operator="equal" id="{3E241739-1D3A-45FF-BE5A-ED0DECDB1D50}">
            <xm:f>'Clash Matrix Legend'!$A$11</xm:f>
            <x14:dxf>
              <fill>
                <patternFill>
                  <bgColor theme="8" tint="-0.499984740745262"/>
                </patternFill>
              </fill>
            </x14:dxf>
          </x14:cfRule>
          <x14:cfRule type="cellIs" priority="2519" operator="equal" id="{BB629B62-7FA8-4414-B956-72C306EACC51}">
            <xm:f>'Clash Matrix Legend'!#REF!</xm:f>
            <x14:dxf>
              <fill>
                <patternFill>
                  <bgColor theme="8" tint="0.79998168889431442"/>
                </patternFill>
              </fill>
            </x14:dxf>
          </x14:cfRule>
          <x14:cfRule type="cellIs" priority="2518" operator="equal" id="{A88F6212-068D-48B6-9B7D-C159CA1EF9A1}">
            <xm:f>'Clash Matrix Legend'!$A$9</xm:f>
            <x14:dxf>
              <fill>
                <patternFill>
                  <bgColor theme="8" tint="0.59996337778862885"/>
                </patternFill>
              </fill>
            </x14:dxf>
          </x14:cfRule>
          <x14:cfRule type="cellIs" priority="2517" operator="equal" id="{B7208109-5808-41ED-9B27-FFF23C582930}">
            <xm:f>'Clash Matrix Legend'!$A$10</xm:f>
            <x14:dxf>
              <fill>
                <patternFill>
                  <bgColor theme="8" tint="-0.24994659260841701"/>
                </patternFill>
              </fill>
            </x14:dxf>
          </x14:cfRule>
          <x14:cfRule type="cellIs" priority="2513" operator="equal" id="{383D5AE2-4DDB-4CED-9AC9-23DCF33FDFBE}">
            <xm:f>'Clash Matrix Legend'!$A$11</xm:f>
            <x14:dxf>
              <fill>
                <patternFill>
                  <bgColor theme="8" tint="-0.499984740745262"/>
                </patternFill>
              </fill>
            </x14:dxf>
          </x14:cfRule>
          <x14:cfRule type="cellIs" priority="2511" operator="equal" id="{F631F4FE-1A79-46CA-94DC-AF0CB56073A4}">
            <xm:f>'Clash Matrix Legend'!#REF!</xm:f>
            <x14:dxf>
              <fill>
                <patternFill>
                  <bgColor theme="8" tint="0.79998168889431442"/>
                </patternFill>
              </fill>
            </x14:dxf>
          </x14:cfRule>
          <x14:cfRule type="cellIs" priority="2510" operator="equal" id="{9C89D467-3000-443A-BB5A-5F4E7C2FFEA3}">
            <xm:f>'Clash Matrix Legend'!$A$9</xm:f>
            <x14:dxf>
              <fill>
                <patternFill>
                  <bgColor theme="8" tint="0.59996337778862885"/>
                </patternFill>
              </fill>
            </x14:dxf>
          </x14:cfRule>
          <x14:cfRule type="cellIs" priority="2509" operator="equal" id="{F999EE21-6516-458F-9FE4-9DA1AC82C247}">
            <xm:f>'Clash Matrix Legend'!$A$10</xm:f>
            <x14:dxf>
              <fill>
                <patternFill>
                  <bgColor theme="8" tint="-0.24994659260841701"/>
                </patternFill>
              </fill>
            </x14:dxf>
          </x14:cfRule>
          <xm:sqref>AG4:AH4</xm:sqref>
        </x14:conditionalFormatting>
        <x14:conditionalFormatting xmlns:xm="http://schemas.microsoft.com/office/excel/2006/main">
          <x14:cfRule type="cellIs" priority="1858" operator="equal" id="{FBAE6DBF-1371-4AF9-91D4-CA81AD970675}">
            <xm:f>'Clash Matrix Legend'!$A$9</xm:f>
            <x14:dxf>
              <fill>
                <patternFill>
                  <bgColor theme="8" tint="0.59996337778862885"/>
                </patternFill>
              </fill>
            </x14:dxf>
          </x14:cfRule>
          <x14:cfRule type="cellIs" priority="1857" operator="equal" id="{3C135215-E553-49AD-8707-F9376F42CABE}">
            <xm:f>'Clash Matrix Legend'!$A$10</xm:f>
            <x14:dxf>
              <fill>
                <patternFill>
                  <bgColor theme="8" tint="-0.24994659260841701"/>
                </patternFill>
              </fill>
            </x14:dxf>
          </x14:cfRule>
          <x14:cfRule type="cellIs" priority="1854" operator="equal" id="{64900F72-73DB-4B31-9CD8-55861ADDB3C9}">
            <xm:f>'Clash Matrix Legend'!$A$11</xm:f>
            <x14:dxf>
              <fill>
                <patternFill>
                  <bgColor theme="8" tint="-0.499984740745262"/>
                </patternFill>
              </fill>
            </x14:dxf>
          </x14:cfRule>
          <x14:cfRule type="cellIs" priority="1851" operator="equal" id="{9D57D51F-B4FA-4FE8-8134-47870BAB0911}">
            <xm:f>'Clash Matrix Legend'!#REF!</xm:f>
            <x14:dxf>
              <fill>
                <patternFill>
                  <bgColor theme="8" tint="0.79998168889431442"/>
                </patternFill>
              </fill>
            </x14:dxf>
          </x14:cfRule>
          <x14:cfRule type="cellIs" priority="1850" operator="equal" id="{9E11696A-51F0-47DA-B958-1E034C86166D}">
            <xm:f>'Clash Matrix Legend'!$A$9</xm:f>
            <x14:dxf>
              <fill>
                <patternFill>
                  <bgColor theme="8" tint="0.59996337778862885"/>
                </patternFill>
              </fill>
            </x14:dxf>
          </x14:cfRule>
          <x14:cfRule type="cellIs" priority="1849" operator="equal" id="{7ECE0C3C-6FB8-4684-A742-170912EDD17C}">
            <xm:f>'Clash Matrix Legend'!$A$10</xm:f>
            <x14:dxf>
              <fill>
                <patternFill>
                  <bgColor theme="8" tint="-0.24994659260841701"/>
                </patternFill>
              </fill>
            </x14:dxf>
          </x14:cfRule>
          <x14:cfRule type="cellIs" priority="1845" operator="equal" id="{E72B023D-7645-48C6-B529-7F9F862CBFE6}">
            <xm:f>'Clash Matrix Legend'!$A$11</xm:f>
            <x14:dxf>
              <fill>
                <patternFill>
                  <bgColor theme="8" tint="-0.499984740745262"/>
                </patternFill>
              </fill>
            </x14:dxf>
          </x14:cfRule>
          <x14:cfRule type="cellIs" priority="1843" operator="equal" id="{4066B6EC-7FAC-42A6-B6C7-061207507AA2}">
            <xm:f>'Clash Matrix Legend'!#REF!</xm:f>
            <x14:dxf>
              <fill>
                <patternFill>
                  <bgColor theme="8" tint="0.79998168889431442"/>
                </patternFill>
              </fill>
            </x14:dxf>
          </x14:cfRule>
          <x14:cfRule type="cellIs" priority="1842" operator="equal" id="{44ADE808-83B6-462F-906F-8973CF894507}">
            <xm:f>'Clash Matrix Legend'!$A$9</xm:f>
            <x14:dxf>
              <fill>
                <patternFill>
                  <bgColor theme="8" tint="0.59996337778862885"/>
                </patternFill>
              </fill>
            </x14:dxf>
          </x14:cfRule>
          <x14:cfRule type="cellIs" priority="1841" operator="equal" id="{F25A16E8-42F9-4E16-A4BF-633135328FBD}">
            <xm:f>'Clash Matrix Legend'!$A$10</xm:f>
            <x14:dxf>
              <fill>
                <patternFill>
                  <bgColor theme="8" tint="-0.24994659260841701"/>
                </patternFill>
              </fill>
            </x14:dxf>
          </x14:cfRule>
          <x14:cfRule type="cellIs" priority="1837" operator="equal" id="{BF847729-C9EC-402D-BE01-0371E4507B33}">
            <xm:f>'Clash Matrix Legend'!$A$11</xm:f>
            <x14:dxf>
              <fill>
                <patternFill>
                  <bgColor theme="8" tint="-0.499984740745262"/>
                </patternFill>
              </fill>
            </x14:dxf>
          </x14:cfRule>
          <x14:cfRule type="cellIs" priority="1859" operator="equal" id="{2B65FE90-ADEB-4DF0-8BAC-A2C22C8CDA71}">
            <xm:f>'Clash Matrix Legend'!#REF!</xm:f>
            <x14:dxf>
              <fill>
                <patternFill>
                  <bgColor theme="8" tint="0.79998168889431442"/>
                </patternFill>
              </fill>
            </x14:dxf>
          </x14:cfRule>
          <xm:sqref>AG63:AM63</xm:sqref>
        </x14:conditionalFormatting>
        <x14:conditionalFormatting xmlns:xm="http://schemas.microsoft.com/office/excel/2006/main">
          <x14:cfRule type="cellIs" priority="2275" operator="equal" id="{BF7DC7D0-EEB5-488F-ADD9-6948A159225D}">
            <xm:f>'Clash Matrix Legend'!$A$11</xm:f>
            <x14:dxf>
              <fill>
                <patternFill>
                  <bgColor theme="8" tint="-0.499984740745262"/>
                </patternFill>
              </fill>
            </x14:dxf>
          </x14:cfRule>
          <x14:cfRule type="cellIs" priority="2272" operator="equal" id="{6DA5A421-EF6F-4F46-A4E7-67FC47355708}">
            <xm:f>'Clash Matrix Legend'!$A$11</xm:f>
            <x14:dxf>
              <fill>
                <patternFill>
                  <bgColor theme="8" tint="-0.499984740745262"/>
                </patternFill>
              </fill>
            </x14:dxf>
          </x14:cfRule>
          <x14:cfRule type="cellIs" priority="2279" operator="equal" id="{9B390D72-2945-43B8-806F-E49123DAA4FA}">
            <xm:f>'Clash Matrix Legend'!$A$10</xm:f>
            <x14:dxf>
              <fill>
                <patternFill>
                  <bgColor theme="8" tint="-0.24994659260841701"/>
                </patternFill>
              </fill>
            </x14:dxf>
          </x14:cfRule>
          <x14:cfRule type="cellIs" priority="2280" operator="equal" id="{55A1CDB6-2248-4535-BC83-0C622397E79B}">
            <xm:f>'Clash Matrix Legend'!$A$9</xm:f>
            <x14:dxf>
              <fill>
                <patternFill>
                  <bgColor theme="8" tint="0.59996337778862885"/>
                </patternFill>
              </fill>
            </x14:dxf>
          </x14:cfRule>
          <x14:cfRule type="cellIs" priority="2281" operator="equal" id="{599434EF-1783-4E72-8BFD-712C3E331745}">
            <xm:f>'Clash Matrix Legend'!#REF!</xm:f>
            <x14:dxf>
              <fill>
                <patternFill>
                  <bgColor theme="8" tint="0.79998168889431442"/>
                </patternFill>
              </fill>
            </x14:dxf>
          </x14:cfRule>
          <x14:cfRule type="cellIs" priority="2296" operator="equal" id="{76855864-C7C2-458B-8DD2-6AC5F277A76A}">
            <xm:f>'Clash Matrix Legend'!$A$10</xm:f>
            <x14:dxf>
              <fill>
                <patternFill>
                  <bgColor theme="8" tint="-0.24994659260841701"/>
                </patternFill>
              </fill>
            </x14:dxf>
          </x14:cfRule>
          <x14:cfRule type="cellIs" priority="2283" operator="equal" id="{7CB541E0-65CA-4573-A644-E754CB01DD9A}">
            <xm:f>'Clash Matrix Legend'!$A$11</xm:f>
            <x14:dxf>
              <fill>
                <patternFill>
                  <bgColor theme="8" tint="-0.499984740745262"/>
                </patternFill>
              </fill>
            </x14:dxf>
          </x14:cfRule>
          <x14:cfRule type="cellIs" priority="2287" operator="equal" id="{B0984698-7C25-4FBD-B7ED-92FC28EFBD76}">
            <xm:f>'Clash Matrix Legend'!$A$10</xm:f>
            <x14:dxf>
              <fill>
                <patternFill>
                  <bgColor theme="8" tint="-0.24994659260841701"/>
                </patternFill>
              </fill>
            </x14:dxf>
          </x14:cfRule>
          <x14:cfRule type="cellIs" priority="2288" operator="equal" id="{20C28615-E8DF-4434-90E4-868964C2D3BE}">
            <xm:f>'Clash Matrix Legend'!$A$9</xm:f>
            <x14:dxf>
              <fill>
                <patternFill>
                  <bgColor theme="8" tint="0.59996337778862885"/>
                </patternFill>
              </fill>
            </x14:dxf>
          </x14:cfRule>
          <x14:cfRule type="cellIs" priority="2289" operator="equal" id="{A37A3B22-ED0E-482E-B055-B8322802017C}">
            <xm:f>'Clash Matrix Legend'!#REF!</xm:f>
            <x14:dxf>
              <fill>
                <patternFill>
                  <bgColor theme="8" tint="0.79998168889431442"/>
                </patternFill>
              </fill>
            </x14:dxf>
          </x14:cfRule>
          <x14:cfRule type="cellIs" priority="2292" operator="equal" id="{C9DEDB33-DEDD-4920-AAF7-74837C38C593}">
            <xm:f>'Clash Matrix Legend'!$A$11</xm:f>
            <x14:dxf>
              <fill>
                <patternFill>
                  <bgColor theme="8" tint="-0.499984740745262"/>
                </patternFill>
              </fill>
            </x14:dxf>
          </x14:cfRule>
          <x14:cfRule type="cellIs" priority="2297" operator="equal" id="{6ED4F4B4-4339-4688-A65E-82B8DFF7AA5D}">
            <xm:f>'Clash Matrix Legend'!$A$9</xm:f>
            <x14:dxf>
              <fill>
                <patternFill>
                  <bgColor theme="8" tint="0.59996337778862885"/>
                </patternFill>
              </fill>
            </x14:dxf>
          </x14:cfRule>
          <x14:cfRule type="cellIs" priority="2298" operator="equal" id="{30AF7B25-F9B5-4D40-AFA0-374E1B4D9336}">
            <xm:f>'Clash Matrix Legend'!#REF!</xm:f>
            <x14:dxf>
              <fill>
                <patternFill>
                  <bgColor theme="8" tint="0.79998168889431442"/>
                </patternFill>
              </fill>
            </x14:dxf>
          </x14:cfRule>
          <xm:sqref>AH4</xm:sqref>
        </x14:conditionalFormatting>
        <x14:conditionalFormatting xmlns:xm="http://schemas.microsoft.com/office/excel/2006/main">
          <x14:cfRule type="cellIs" priority="2335" operator="equal" id="{283AE267-7290-4816-9F2D-6AB77B85497C}">
            <xm:f>'Clash Matrix Legend'!$A$9</xm:f>
            <x14:dxf>
              <fill>
                <patternFill>
                  <bgColor theme="8" tint="0.59996337778862885"/>
                </patternFill>
              </fill>
            </x14:dxf>
          </x14:cfRule>
          <x14:cfRule type="cellIs" priority="2336" operator="equal" id="{8F96304A-C7E4-4186-A6E9-C5803B0B50F2}">
            <xm:f>'Clash Matrix Legend'!#REF!</xm:f>
            <x14:dxf>
              <fill>
                <patternFill>
                  <bgColor theme="8" tint="0.79998168889431442"/>
                </patternFill>
              </fill>
            </x14:dxf>
          </x14:cfRule>
          <x14:cfRule type="cellIs" priority="2327" operator="equal" id="{AA5871F5-28FC-454C-84EE-6A74141AC5A9}">
            <xm:f>'Clash Matrix Legend'!#REF!</xm:f>
            <x14:dxf>
              <fill>
                <patternFill>
                  <bgColor theme="8" tint="0.79998168889431442"/>
                </patternFill>
              </fill>
            </x14:dxf>
          </x14:cfRule>
          <x14:cfRule type="cellIs" priority="2326" operator="equal" id="{F1BE2434-49FE-4ECB-B001-73AE8630A4A5}">
            <xm:f>'Clash Matrix Legend'!$A$9</xm:f>
            <x14:dxf>
              <fill>
                <patternFill>
                  <bgColor theme="8" tint="0.59996337778862885"/>
                </patternFill>
              </fill>
            </x14:dxf>
          </x14:cfRule>
          <x14:cfRule type="cellIs" priority="2325" operator="equal" id="{AC0E8FEF-94E5-44DE-84A9-06DF2E1543A6}">
            <xm:f>'Clash Matrix Legend'!$A$10</xm:f>
            <x14:dxf>
              <fill>
                <patternFill>
                  <bgColor theme="8" tint="-0.24994659260841701"/>
                </patternFill>
              </fill>
            </x14:dxf>
          </x14:cfRule>
          <x14:cfRule type="cellIs" priority="2318" operator="equal" id="{4EB7A436-0962-473E-BBB9-4E10456C5B3D}">
            <xm:f>'Clash Matrix Legend'!$A$9</xm:f>
            <x14:dxf>
              <fill>
                <patternFill>
                  <bgColor theme="8" tint="0.59996337778862885"/>
                </patternFill>
              </fill>
            </x14:dxf>
          </x14:cfRule>
          <x14:cfRule type="cellIs" priority="2317" operator="equal" id="{42C04DAD-285B-4715-BDB4-22D2610AF771}">
            <xm:f>'Clash Matrix Legend'!$A$10</xm:f>
            <x14:dxf>
              <fill>
                <patternFill>
                  <bgColor theme="8" tint="-0.24994659260841701"/>
                </patternFill>
              </fill>
            </x14:dxf>
          </x14:cfRule>
          <x14:cfRule type="cellIs" priority="2321" operator="equal" id="{83B05CC8-A284-4A6A-AEC3-4DBFC7637C73}">
            <xm:f>'Clash Matrix Legend'!$A$11</xm:f>
            <x14:dxf>
              <fill>
                <patternFill>
                  <bgColor theme="8" tint="-0.499984740745262"/>
                </patternFill>
              </fill>
            </x14:dxf>
          </x14:cfRule>
          <x14:cfRule type="cellIs" priority="2319" operator="equal" id="{50689677-D2DD-4170-A978-A8EEA5CA3110}">
            <xm:f>'Clash Matrix Legend'!#REF!</xm:f>
            <x14:dxf>
              <fill>
                <patternFill>
                  <bgColor theme="8" tint="0.79998168889431442"/>
                </patternFill>
              </fill>
            </x14:dxf>
          </x14:cfRule>
          <x14:cfRule type="cellIs" priority="2330" operator="equal" id="{AD5166FF-D6A1-4122-898A-F2866B4781C7}">
            <xm:f>'Clash Matrix Legend'!$A$11</xm:f>
            <x14:dxf>
              <fill>
                <patternFill>
                  <bgColor theme="8" tint="-0.499984740745262"/>
                </patternFill>
              </fill>
            </x14:dxf>
          </x14:cfRule>
          <x14:cfRule type="cellIs" priority="2334" operator="equal" id="{8EFE48FE-C419-4115-9BE3-6EC0D5264281}">
            <xm:f>'Clash Matrix Legend'!$A$10</xm:f>
            <x14:dxf>
              <fill>
                <patternFill>
                  <bgColor theme="8" tint="-0.24994659260841701"/>
                </patternFill>
              </fill>
            </x14:dxf>
          </x14:cfRule>
          <xm:sqref>AH6</xm:sqref>
        </x14:conditionalFormatting>
        <x14:conditionalFormatting xmlns:xm="http://schemas.microsoft.com/office/excel/2006/main">
          <x14:cfRule type="cellIs" priority="2360" operator="equal" id="{4DBC7EBC-3518-4664-B320-66726D881179}">
            <xm:f>'Clash Matrix Legend'!$A$10</xm:f>
            <x14:dxf>
              <fill>
                <patternFill>
                  <bgColor theme="8" tint="-0.24994659260841701"/>
                </patternFill>
              </fill>
            </x14:dxf>
          </x14:cfRule>
          <x14:cfRule type="cellIs" priority="2361" operator="equal" id="{BF3752BD-B820-4C16-9B05-84D47EFD19FB}">
            <xm:f>'Clash Matrix Legend'!$A$9</xm:f>
            <x14:dxf>
              <fill>
                <patternFill>
                  <bgColor theme="8" tint="0.59996337778862885"/>
                </patternFill>
              </fill>
            </x14:dxf>
          </x14:cfRule>
          <x14:cfRule type="cellIs" priority="2362" operator="equal" id="{F144413E-13AB-4252-8C13-31829321061E}">
            <xm:f>'Clash Matrix Legend'!#REF!</xm:f>
            <x14:dxf>
              <fill>
                <patternFill>
                  <bgColor theme="8" tint="0.79998168889431442"/>
                </patternFill>
              </fill>
            </x14:dxf>
          </x14:cfRule>
          <x14:cfRule type="cellIs" priority="2309" operator="equal" id="{64B81611-0A56-44F5-AA54-D4894D870F51}">
            <xm:f>'Clash Matrix Legend'!$A$11</xm:f>
            <x14:dxf>
              <fill>
                <patternFill>
                  <bgColor theme="8" tint="-0.499984740745262"/>
                </patternFill>
              </fill>
            </x14:dxf>
          </x14:cfRule>
          <x14:cfRule type="cellIs" priority="2339" operator="equal" id="{E545A16F-BF7F-4FEC-86BF-0A8ADC23DB81}">
            <xm:f>'Clash Matrix Legend'!$A$11</xm:f>
            <x14:dxf>
              <fill>
                <patternFill>
                  <bgColor theme="8" tint="-0.499984740745262"/>
                </patternFill>
              </fill>
            </x14:dxf>
          </x14:cfRule>
          <x14:cfRule type="cellIs" priority="2343" operator="equal" id="{87E64206-9D6B-49B6-A9FB-E26F33854CC0}">
            <xm:f>'Clash Matrix Legend'!$A$10</xm:f>
            <x14:dxf>
              <fill>
                <patternFill>
                  <bgColor theme="8" tint="-0.24994659260841701"/>
                </patternFill>
              </fill>
            </x14:dxf>
          </x14:cfRule>
          <x14:cfRule type="cellIs" priority="2344" operator="equal" id="{967E8C7E-06AD-4DA8-AA9F-1C050B070E97}">
            <xm:f>'Clash Matrix Legend'!$A$9</xm:f>
            <x14:dxf>
              <fill>
                <patternFill>
                  <bgColor theme="8" tint="0.59996337778862885"/>
                </patternFill>
              </fill>
            </x14:dxf>
          </x14:cfRule>
          <x14:cfRule type="cellIs" priority="2345" operator="equal" id="{16F3682F-FC16-4A43-88B5-4B462838E1EA}">
            <xm:f>'Clash Matrix Legend'!#REF!</xm:f>
            <x14:dxf>
              <fill>
                <patternFill>
                  <bgColor theme="8" tint="0.79998168889431442"/>
                </patternFill>
              </fill>
            </x14:dxf>
          </x14:cfRule>
          <x14:cfRule type="cellIs" priority="2347" operator="equal" id="{3EA8C4E2-B6BF-4B6B-A10C-5A5C8A460089}">
            <xm:f>'Clash Matrix Legend'!$A$11</xm:f>
            <x14:dxf>
              <fill>
                <patternFill>
                  <bgColor theme="8" tint="-0.499984740745262"/>
                </patternFill>
              </fill>
            </x14:dxf>
          </x14:cfRule>
          <x14:cfRule type="cellIs" priority="2351" operator="equal" id="{F5A66AD3-874C-4E04-8362-A51DA21D8A8A}">
            <xm:f>'Clash Matrix Legend'!$A$10</xm:f>
            <x14:dxf>
              <fill>
                <patternFill>
                  <bgColor theme="8" tint="-0.24994659260841701"/>
                </patternFill>
              </fill>
            </x14:dxf>
          </x14:cfRule>
          <x14:cfRule type="cellIs" priority="2352" operator="equal" id="{9BEC808A-D849-4CBF-AA46-37A5D9D2D7D1}">
            <xm:f>'Clash Matrix Legend'!$A$9</xm:f>
            <x14:dxf>
              <fill>
                <patternFill>
                  <bgColor theme="8" tint="0.59996337778862885"/>
                </patternFill>
              </fill>
            </x14:dxf>
          </x14:cfRule>
          <x14:cfRule type="cellIs" priority="2353" operator="equal" id="{306F0B32-5EFB-4C85-89B7-F979B4FF3734}">
            <xm:f>'Clash Matrix Legend'!#REF!</xm:f>
            <x14:dxf>
              <fill>
                <patternFill>
                  <bgColor theme="8" tint="0.79998168889431442"/>
                </patternFill>
              </fill>
            </x14:dxf>
          </x14:cfRule>
          <x14:cfRule type="cellIs" priority="2356" operator="equal" id="{BD2CDBBB-546C-42A9-AA71-11FB83C35A87}">
            <xm:f>'Clash Matrix Legend'!$A$11</xm:f>
            <x14:dxf>
              <fill>
                <patternFill>
                  <bgColor theme="8" tint="-0.499984740745262"/>
                </patternFill>
              </fill>
            </x14:dxf>
          </x14:cfRule>
          <xm:sqref>AH6:AH7</xm:sqref>
        </x14:conditionalFormatting>
        <x14:conditionalFormatting xmlns:xm="http://schemas.microsoft.com/office/excel/2006/main">
          <x14:cfRule type="cellIs" priority="2314" operator="equal" id="{3F53A5AB-E850-456A-B276-C7E6D82855A1}">
            <xm:f>'Clash Matrix Legend'!#REF!</xm:f>
            <x14:dxf>
              <fill>
                <patternFill>
                  <bgColor theme="8" tint="0.79998168889431442"/>
                </patternFill>
              </fill>
            </x14:dxf>
          </x14:cfRule>
          <x14:cfRule type="cellIs" priority="2312" operator="equal" id="{D91727A4-6AB5-4E8B-8AFF-36E30199EC01}">
            <xm:f>'Clash Matrix Legend'!$A$10</xm:f>
            <x14:dxf>
              <fill>
                <patternFill>
                  <bgColor theme="8" tint="-0.24994659260841701"/>
                </patternFill>
              </fill>
            </x14:dxf>
          </x14:cfRule>
          <x14:cfRule type="cellIs" priority="2313" operator="equal" id="{1CF9C23F-2506-4F6D-87D2-6A099B7C9226}">
            <xm:f>'Clash Matrix Legend'!$A$9</xm:f>
            <x14:dxf>
              <fill>
                <patternFill>
                  <bgColor theme="8" tint="0.59996337778862885"/>
                </patternFill>
              </fill>
            </x14:dxf>
          </x14:cfRule>
          <xm:sqref>AH7</xm:sqref>
        </x14:conditionalFormatting>
        <x14:conditionalFormatting xmlns:xm="http://schemas.microsoft.com/office/excel/2006/main">
          <x14:cfRule type="cellIs" priority="7485" operator="equal" id="{2969CB61-2A14-4A3F-BD13-258F22E6E749}">
            <xm:f>'Clash Matrix Legend'!$A$10</xm:f>
            <x14:dxf>
              <fill>
                <patternFill>
                  <bgColor theme="8" tint="-0.24994659260841701"/>
                </patternFill>
              </fill>
            </x14:dxf>
          </x14:cfRule>
          <x14:cfRule type="cellIs" priority="7481" operator="equal" id="{002AAF65-CD17-4A81-BC10-4F51AD3CFB26}">
            <xm:f>'Clash Matrix Legend'!$A$11</xm:f>
            <x14:dxf>
              <fill>
                <patternFill>
                  <bgColor theme="8" tint="-0.499984740745262"/>
                </patternFill>
              </fill>
            </x14:dxf>
          </x14:cfRule>
          <x14:cfRule type="cellIs" priority="7487" operator="equal" id="{B93F5C0D-0FB3-4A6A-B9B8-C23F684A6147}">
            <xm:f>'Clash Matrix Legend'!#REF!</xm:f>
            <x14:dxf>
              <fill>
                <patternFill>
                  <bgColor theme="8" tint="0.79998168889431442"/>
                </patternFill>
              </fill>
            </x14:dxf>
          </x14:cfRule>
          <x14:cfRule type="cellIs" priority="7486" operator="equal" id="{084E44B4-C3DB-48D6-9A9B-DFEC6A26FF12}">
            <xm:f>'Clash Matrix Legend'!$A$9</xm:f>
            <x14:dxf>
              <fill>
                <patternFill>
                  <bgColor theme="8" tint="0.59996337778862885"/>
                </patternFill>
              </fill>
            </x14:dxf>
          </x14:cfRule>
          <x14:cfRule type="cellIs" priority="7490" operator="equal" id="{1FFD6393-5F13-4E4B-9EDF-AE4A22EEE162}">
            <xm:f>'Clash Matrix Legend'!$A$11</xm:f>
            <x14:dxf>
              <fill>
                <patternFill>
                  <bgColor theme="8" tint="-0.499984740745262"/>
                </patternFill>
              </fill>
            </x14:dxf>
          </x14:cfRule>
          <x14:cfRule type="cellIs" priority="7494" operator="equal" id="{12B68390-5C9F-4EBD-9DEA-9FBD14E0D3A7}">
            <xm:f>'Clash Matrix Legend'!$A$10</xm:f>
            <x14:dxf>
              <fill>
                <patternFill>
                  <bgColor theme="8" tint="-0.24994659260841701"/>
                </patternFill>
              </fill>
            </x14:dxf>
          </x14:cfRule>
          <x14:cfRule type="cellIs" priority="7495" operator="equal" id="{79CF3637-62CF-407A-8B03-47B46CA4930D}">
            <xm:f>'Clash Matrix Legend'!$A$9</xm:f>
            <x14:dxf>
              <fill>
                <patternFill>
                  <bgColor theme="8" tint="0.59996337778862885"/>
                </patternFill>
              </fill>
            </x14:dxf>
          </x14:cfRule>
          <x14:cfRule type="cellIs" priority="7496" operator="equal" id="{1BF2B8B3-6476-4833-A156-AAB285C55009}">
            <xm:f>'Clash Matrix Legend'!#REF!</xm:f>
            <x14:dxf>
              <fill>
                <patternFill>
                  <bgColor theme="8" tint="0.79998168889431442"/>
                </patternFill>
              </fill>
            </x14:dxf>
          </x14:cfRule>
          <xm:sqref>AH64:AH65</xm:sqref>
        </x14:conditionalFormatting>
        <x14:conditionalFormatting xmlns:xm="http://schemas.microsoft.com/office/excel/2006/main">
          <x14:cfRule type="cellIs" priority="7574" operator="equal" id="{C2413324-E715-44DC-AA37-06508AADAC28}">
            <xm:f>'Clash Matrix Legend'!#REF!</xm:f>
            <x14:dxf>
              <fill>
                <patternFill>
                  <bgColor theme="8" tint="0.79998168889431442"/>
                </patternFill>
              </fill>
            </x14:dxf>
          </x14:cfRule>
          <x14:cfRule type="cellIs" priority="7573" operator="equal" id="{7A775C23-B256-4913-B707-10DB6713FB60}">
            <xm:f>'Clash Matrix Legend'!$A$9</xm:f>
            <x14:dxf>
              <fill>
                <patternFill>
                  <bgColor theme="8" tint="0.59996337778862885"/>
                </patternFill>
              </fill>
            </x14:dxf>
          </x14:cfRule>
          <x14:cfRule type="cellIs" priority="7572" operator="equal" id="{64DF7D72-FED6-4290-9A47-6FCE34660C4F}">
            <xm:f>'Clash Matrix Legend'!$A$10</xm:f>
            <x14:dxf>
              <fill>
                <patternFill>
                  <bgColor theme="8" tint="-0.24994659260841701"/>
                </patternFill>
              </fill>
            </x14:dxf>
          </x14:cfRule>
          <xm:sqref>AH62:AJ63</xm:sqref>
        </x14:conditionalFormatting>
        <x14:conditionalFormatting xmlns:xm="http://schemas.microsoft.com/office/excel/2006/main">
          <x14:cfRule type="cellIs" priority="7595" operator="equal" id="{C3E527C7-F003-4A15-A094-91F58A65CE52}">
            <xm:f>'Clash Matrix Legend'!$A$11</xm:f>
            <x14:dxf>
              <fill>
                <patternFill>
                  <bgColor theme="8" tint="-0.499984740745262"/>
                </patternFill>
              </fill>
            </x14:dxf>
          </x14:cfRule>
          <x14:cfRule type="cellIs" priority="7601" operator="equal" id="{9017AD2F-A657-4670-846C-82002C7982FA}">
            <xm:f>'Clash Matrix Legend'!#REF!</xm:f>
            <x14:dxf>
              <fill>
                <patternFill>
                  <bgColor theme="8" tint="0.79998168889431442"/>
                </patternFill>
              </fill>
            </x14:dxf>
          </x14:cfRule>
          <x14:cfRule type="cellIs" priority="7600" operator="equal" id="{D00943E8-2203-4646-A651-ED7E9D444E41}">
            <xm:f>'Clash Matrix Legend'!$A$9</xm:f>
            <x14:dxf>
              <fill>
                <patternFill>
                  <bgColor theme="8" tint="0.59996337778862885"/>
                </patternFill>
              </fill>
            </x14:dxf>
          </x14:cfRule>
          <x14:cfRule type="cellIs" priority="7599" operator="equal" id="{FFA3E6ED-C22B-43B3-8504-3A09D9588AE6}">
            <xm:f>'Clash Matrix Legend'!$A$10</xm:f>
            <x14:dxf>
              <fill>
                <patternFill>
                  <bgColor theme="8" tint="-0.24994659260841701"/>
                </patternFill>
              </fill>
            </x14:dxf>
          </x14:cfRule>
          <x14:cfRule type="cellIs" priority="7608" operator="equal" id="{38BB0B29-F738-42B6-A9E0-F8A6CDAB45A6}">
            <xm:f>'Clash Matrix Legend'!$A$10</xm:f>
            <x14:dxf>
              <fill>
                <patternFill>
                  <bgColor theme="8" tint="-0.24994659260841701"/>
                </patternFill>
              </fill>
            </x14:dxf>
          </x14:cfRule>
          <xm:sqref>AH12:AM12</xm:sqref>
        </x14:conditionalFormatting>
        <x14:conditionalFormatting xmlns:xm="http://schemas.microsoft.com/office/excel/2006/main">
          <x14:cfRule type="cellIs" priority="7610" operator="equal" id="{95F174D5-5D91-4D47-9E65-12F11D2CB4E8}">
            <xm:f>'Clash Matrix Legend'!#REF!</xm:f>
            <x14:dxf>
              <fill>
                <patternFill>
                  <bgColor theme="8" tint="0.79998168889431442"/>
                </patternFill>
              </fill>
            </x14:dxf>
          </x14:cfRule>
          <x14:cfRule type="cellIs" priority="7604" operator="equal" id="{641691EA-4BCC-45F0-BABC-957DBFF6F595}">
            <xm:f>'Clash Matrix Legend'!$A$11</xm:f>
            <x14:dxf>
              <fill>
                <patternFill>
                  <bgColor theme="8" tint="-0.499984740745262"/>
                </patternFill>
              </fill>
            </x14:dxf>
          </x14:cfRule>
          <x14:cfRule type="cellIs" priority="7609" operator="equal" id="{6C6EDCC2-237C-4ABD-9872-C6A94F4A428B}">
            <xm:f>'Clash Matrix Legend'!$A$9</xm:f>
            <x14:dxf>
              <fill>
                <patternFill>
                  <bgColor theme="8" tint="0.59996337778862885"/>
                </patternFill>
              </fill>
            </x14:dxf>
          </x14:cfRule>
          <xm:sqref>AH12:AM13</xm:sqref>
        </x14:conditionalFormatting>
        <x14:conditionalFormatting xmlns:xm="http://schemas.microsoft.com/office/excel/2006/main">
          <x14:cfRule type="cellIs" priority="8553" operator="equal" id="{3615F9C6-601C-4611-AA1A-557E9900AB7C}">
            <xm:f>'Clash Matrix Legend'!$A$10</xm:f>
            <x14:dxf>
              <fill>
                <patternFill>
                  <bgColor theme="8" tint="-0.24994659260841701"/>
                </patternFill>
              </fill>
            </x14:dxf>
          </x14:cfRule>
          <xm:sqref>AH13:AM13</xm:sqref>
        </x14:conditionalFormatting>
        <x14:conditionalFormatting xmlns:xm="http://schemas.microsoft.com/office/excel/2006/main">
          <x14:cfRule type="cellIs" priority="7476" operator="equal" id="{E7319BD6-17A1-4E40-9C21-65300B8FBB57}">
            <xm:f>'Clash Matrix Legend'!$A$11</xm:f>
            <x14:dxf>
              <fill>
                <patternFill>
                  <bgColor theme="8" tint="-0.499984740745262"/>
                </patternFill>
              </fill>
            </x14:dxf>
          </x14:cfRule>
          <xm:sqref>AH62:AM62 AG62:AJ63</xm:sqref>
        </x14:conditionalFormatting>
        <x14:conditionalFormatting xmlns:xm="http://schemas.microsoft.com/office/excel/2006/main">
          <x14:cfRule type="cellIs" priority="579" operator="equal" id="{B3127176-A95E-4F31-86E2-D8B56982FECF}">
            <xm:f>'Clash Matrix Legend'!#REF!</xm:f>
            <x14:dxf>
              <fill>
                <patternFill>
                  <bgColor theme="8" tint="0.79998168889431442"/>
                </patternFill>
              </fill>
            </x14:dxf>
          </x14:cfRule>
          <x14:cfRule type="cellIs" priority="578" operator="equal" id="{B783F877-7AE5-4CA9-A358-314BC12C3C47}">
            <xm:f>'Clash Matrix Legend'!$A$9</xm:f>
            <x14:dxf>
              <fill>
                <patternFill>
                  <bgColor theme="8" tint="0.59996337778862885"/>
                </patternFill>
              </fill>
            </x14:dxf>
          </x14:cfRule>
          <x14:cfRule type="cellIs" priority="577" operator="equal" id="{06D40100-04DB-4FFE-B7D4-1CBAD3F56CDC}">
            <xm:f>'Clash Matrix Legend'!$A$10</xm:f>
            <x14:dxf>
              <fill>
                <patternFill>
                  <bgColor theme="8" tint="-0.24994659260841701"/>
                </patternFill>
              </fill>
            </x14:dxf>
          </x14:cfRule>
          <x14:cfRule type="cellIs" priority="575" operator="equal" id="{3927FA7D-C7DF-4129-9983-41B56EF119CE}">
            <xm:f>'Clash Matrix Legend'!#REF!</xm:f>
            <x14:dxf>
              <fill>
                <patternFill>
                  <bgColor theme="8" tint="0.79998168889431442"/>
                </patternFill>
              </fill>
            </x14:dxf>
          </x14:cfRule>
          <x14:cfRule type="cellIs" priority="574" operator="equal" id="{99D04623-E9E1-44DD-9F56-85E3E32584A4}">
            <xm:f>'Clash Matrix Legend'!$A$9</xm:f>
            <x14:dxf>
              <fill>
                <patternFill>
                  <bgColor theme="8" tint="0.59996337778862885"/>
                </patternFill>
              </fill>
            </x14:dxf>
          </x14:cfRule>
          <x14:cfRule type="cellIs" priority="573" operator="equal" id="{DA0C557A-2226-4E03-A52A-2F39444CB23B}">
            <xm:f>'Clash Matrix Legend'!$A$10</xm:f>
            <x14:dxf>
              <fill>
                <patternFill>
                  <bgColor theme="8" tint="-0.24994659260841701"/>
                </patternFill>
              </fill>
            </x14:dxf>
          </x14:cfRule>
          <x14:cfRule type="cellIs" priority="570" operator="equal" id="{499B19E2-E7FB-4C53-93B1-7EEE4E5BBAC5}">
            <xm:f>'Clash Matrix Legend'!#REF!</xm:f>
            <x14:dxf>
              <fill>
                <patternFill>
                  <bgColor theme="8" tint="0.79998168889431442"/>
                </patternFill>
              </fill>
            </x14:dxf>
          </x14:cfRule>
          <x14:cfRule type="cellIs" priority="569" operator="equal" id="{790CDFA3-B8D5-4E2E-85C9-0CA71FE3E0AD}">
            <xm:f>'Clash Matrix Legend'!$A$9</xm:f>
            <x14:dxf>
              <fill>
                <patternFill>
                  <bgColor theme="8" tint="0.59996337778862885"/>
                </patternFill>
              </fill>
            </x14:dxf>
          </x14:cfRule>
          <x14:cfRule type="cellIs" priority="568" operator="equal" id="{2F5A097B-EF94-411D-B7B6-BB8C210A2D92}">
            <xm:f>'Clash Matrix Legend'!$A$10</xm:f>
            <x14:dxf>
              <fill>
                <patternFill>
                  <bgColor theme="8" tint="-0.24994659260841701"/>
                </patternFill>
              </fill>
            </x14:dxf>
          </x14:cfRule>
          <x14:cfRule type="cellIs" priority="564" operator="equal" id="{F17AEEBD-6CDC-48AF-BCBA-CE7C7D2CA6F0}">
            <xm:f>'Clash Matrix Legend'!$A$11</xm:f>
            <x14:dxf>
              <fill>
                <patternFill>
                  <bgColor theme="8" tint="-0.499984740745262"/>
                </patternFill>
              </fill>
            </x14:dxf>
          </x14:cfRule>
          <x14:cfRule type="cellIs" priority="583" operator="equal" id="{C55456AD-3969-4EC6-8201-4BAC737424C3}">
            <xm:f>'Clash Matrix Legend'!$A$11</xm:f>
            <x14:dxf>
              <fill>
                <patternFill>
                  <bgColor theme="8" tint="-0.499984740745262"/>
                </patternFill>
              </fill>
            </x14:dxf>
          </x14:cfRule>
          <x14:cfRule type="cellIs" priority="587" operator="equal" id="{FE832553-8BB5-47D1-8958-FAAD2E5451E4}">
            <xm:f>'Clash Matrix Legend'!$A$10</xm:f>
            <x14:dxf>
              <fill>
                <patternFill>
                  <bgColor theme="8" tint="-0.24994659260841701"/>
                </patternFill>
              </fill>
            </x14:dxf>
          </x14:cfRule>
          <x14:cfRule type="cellIs" priority="588" operator="equal" id="{C1E4F5E5-8445-4738-B4B4-D2D7106E9D34}">
            <xm:f>'Clash Matrix Legend'!$A$9</xm:f>
            <x14:dxf>
              <fill>
                <patternFill>
                  <bgColor theme="8" tint="0.59996337778862885"/>
                </patternFill>
              </fill>
            </x14:dxf>
          </x14:cfRule>
          <x14:cfRule type="cellIs" priority="589" operator="equal" id="{818049F8-0EAB-47A4-89E5-45A2569ED9F2}">
            <xm:f>'Clash Matrix Legend'!#REF!</xm:f>
            <x14:dxf>
              <fill>
                <patternFill>
                  <bgColor theme="8" tint="0.79998168889431442"/>
                </patternFill>
              </fill>
            </x14:dxf>
          </x14:cfRule>
          <xm:sqref>AH62:AM62</xm:sqref>
        </x14:conditionalFormatting>
        <x14:conditionalFormatting xmlns:xm="http://schemas.microsoft.com/office/excel/2006/main">
          <x14:cfRule type="cellIs" priority="7555" operator="equal" id="{965BEC34-7C4B-4C38-891F-094BEBB22554}">
            <xm:f>'Clash Matrix Legend'!$A$10</xm:f>
            <x14:dxf>
              <fill>
                <patternFill>
                  <bgColor theme="8" tint="-0.24994659260841701"/>
                </patternFill>
              </fill>
            </x14:dxf>
          </x14:cfRule>
          <x14:cfRule type="cellIs" priority="7556" operator="equal" id="{F9BBBFA6-5B33-46CF-8BD4-B68BB07750DB}">
            <xm:f>'Clash Matrix Legend'!$A$9</xm:f>
            <x14:dxf>
              <fill>
                <patternFill>
                  <bgColor theme="8" tint="0.59996337778862885"/>
                </patternFill>
              </fill>
            </x14:dxf>
          </x14:cfRule>
          <x14:cfRule type="cellIs" priority="7557" operator="equal" id="{00FBD76B-6282-4367-B0E5-532E90EBFBA3}">
            <xm:f>'Clash Matrix Legend'!#REF!</xm:f>
            <x14:dxf>
              <fill>
                <patternFill>
                  <bgColor theme="8" tint="0.79998168889431442"/>
                </patternFill>
              </fill>
            </x14:dxf>
          </x14:cfRule>
          <xm:sqref>AH62:AM63</xm:sqref>
        </x14:conditionalFormatting>
        <x14:conditionalFormatting xmlns:xm="http://schemas.microsoft.com/office/excel/2006/main">
          <x14:cfRule type="cellIs" priority="2190" operator="equal" id="{1BB3F5A7-A8A0-4D1B-A7BA-7E8C10CED7D9}">
            <xm:f>'Clash Matrix Legend'!$A$11</xm:f>
            <x14:dxf>
              <fill>
                <patternFill>
                  <bgColor theme="8" tint="-0.499984740745262"/>
                </patternFill>
              </fill>
            </x14:dxf>
          </x14:cfRule>
          <xm:sqref>AI12:AI13</xm:sqref>
        </x14:conditionalFormatting>
        <x14:conditionalFormatting xmlns:xm="http://schemas.microsoft.com/office/excel/2006/main">
          <x14:cfRule type="cellIs" priority="7649" operator="equal" id="{4C89E251-0E78-42CB-8ED0-1DC13DDD8588}">
            <xm:f>'Clash Matrix Legend'!$A$10</xm:f>
            <x14:dxf>
              <fill>
                <patternFill>
                  <bgColor theme="8" tint="-0.24994659260841701"/>
                </patternFill>
              </fill>
            </x14:dxf>
          </x14:cfRule>
          <x14:cfRule type="cellIs" priority="7650" operator="equal" id="{91D3D562-7D2B-42C2-A7E1-3BAECC02FCCC}">
            <xm:f>'Clash Matrix Legend'!$A$9</xm:f>
            <x14:dxf>
              <fill>
                <patternFill>
                  <bgColor theme="8" tint="0.59996337778862885"/>
                </patternFill>
              </fill>
            </x14:dxf>
          </x14:cfRule>
          <x14:cfRule type="cellIs" priority="7651" operator="equal" id="{413B65AA-2D17-46F6-A98A-5A44D0ADAED3}">
            <xm:f>'Clash Matrix Legend'!#REF!</xm:f>
            <x14:dxf>
              <fill>
                <patternFill>
                  <bgColor theme="8" tint="0.79998168889431442"/>
                </patternFill>
              </fill>
            </x14:dxf>
          </x14:cfRule>
          <x14:cfRule type="cellIs" priority="7637" operator="equal" id="{B6A57392-929F-429F-B458-846FCBE38273}">
            <xm:f>'Clash Matrix Legend'!$A$11</xm:f>
            <x14:dxf>
              <fill>
                <patternFill>
                  <bgColor theme="8" tint="-0.499984740745262"/>
                </patternFill>
              </fill>
            </x14:dxf>
          </x14:cfRule>
          <x14:cfRule type="cellIs" priority="7634" operator="equal" id="{7C4FE4A6-D6D7-4EA1-9E0B-51A59CE2A546}">
            <xm:f>'Clash Matrix Legend'!#REF!</xm:f>
            <x14:dxf>
              <fill>
                <patternFill>
                  <bgColor theme="8" tint="0.79998168889431442"/>
                </patternFill>
              </fill>
            </x14:dxf>
          </x14:cfRule>
          <x14:cfRule type="cellIs" priority="7633" operator="equal" id="{9AF3ED22-688F-460E-9CA1-1690AE0A8509}">
            <xm:f>'Clash Matrix Legend'!$A$9</xm:f>
            <x14:dxf>
              <fill>
                <patternFill>
                  <bgColor theme="8" tint="0.59996337778862885"/>
                </patternFill>
              </fill>
            </x14:dxf>
          </x14:cfRule>
          <x14:cfRule type="cellIs" priority="7632" operator="equal" id="{0BA4B253-446E-4DFA-BAA7-C443AF60D7B5}">
            <xm:f>'Clash Matrix Legend'!$A$10</xm:f>
            <x14:dxf>
              <fill>
                <patternFill>
                  <bgColor theme="8" tint="-0.24994659260841701"/>
                </patternFill>
              </fill>
            </x14:dxf>
          </x14:cfRule>
          <x14:cfRule type="cellIs" priority="7628" operator="equal" id="{022FE500-E860-4C41-9747-2C9E9318C737}">
            <xm:f>'Clash Matrix Legend'!$A$11</xm:f>
            <x14:dxf>
              <fill>
                <patternFill>
                  <bgColor theme="8" tint="-0.499984740745262"/>
                </patternFill>
              </fill>
            </x14:dxf>
          </x14:cfRule>
          <x14:cfRule type="cellIs" priority="7625" operator="equal" id="{3E20278E-FEB4-49C3-9A7D-301E4C8CE630}">
            <xm:f>'Clash Matrix Legend'!#REF!</xm:f>
            <x14:dxf>
              <fill>
                <patternFill>
                  <bgColor theme="8" tint="0.79998168889431442"/>
                </patternFill>
              </fill>
            </x14:dxf>
          </x14:cfRule>
          <x14:cfRule type="cellIs" priority="7623" operator="equal" id="{204C2477-07C4-46E9-9C9B-23D3B345AB62}">
            <xm:f>'Clash Matrix Legend'!$A$10</xm:f>
            <x14:dxf>
              <fill>
                <patternFill>
                  <bgColor theme="8" tint="-0.24994659260841701"/>
                </patternFill>
              </fill>
            </x14:dxf>
          </x14:cfRule>
          <x14:cfRule type="cellIs" priority="7624" operator="equal" id="{F9738F96-3EC0-4A2A-B1A4-91C224AABB5C}">
            <xm:f>'Clash Matrix Legend'!$A$9</xm:f>
            <x14:dxf>
              <fill>
                <patternFill>
                  <bgColor theme="8" tint="0.59996337778862885"/>
                </patternFill>
              </fill>
            </x14:dxf>
          </x14:cfRule>
          <x14:cfRule type="cellIs" priority="7641" operator="equal" id="{0141BF8E-643A-442C-B253-4C3D53A65C51}">
            <xm:f>'Clash Matrix Legend'!$A$10</xm:f>
            <x14:dxf>
              <fill>
                <patternFill>
                  <bgColor theme="8" tint="-0.24994659260841701"/>
                </patternFill>
              </fill>
            </x14:dxf>
          </x14:cfRule>
          <x14:cfRule type="cellIs" priority="7642" operator="equal" id="{8AAF0AA6-305B-4801-A4BD-5B7D423344F6}">
            <xm:f>'Clash Matrix Legend'!$A$9</xm:f>
            <x14:dxf>
              <fill>
                <patternFill>
                  <bgColor theme="8" tint="0.59996337778862885"/>
                </patternFill>
              </fill>
            </x14:dxf>
          </x14:cfRule>
          <x14:cfRule type="cellIs" priority="7643" operator="equal" id="{3C94EF97-AA80-4527-90D6-D0CF9BBF3811}">
            <xm:f>'Clash Matrix Legend'!#REF!</xm:f>
            <x14:dxf>
              <fill>
                <patternFill>
                  <bgColor theme="8" tint="0.79998168889431442"/>
                </patternFill>
              </fill>
            </x14:dxf>
          </x14:cfRule>
          <x14:cfRule type="cellIs" priority="7645" operator="equal" id="{78EB8B6F-761B-4A71-BBE7-6643E10225A4}">
            <xm:f>'Clash Matrix Legend'!$A$11</xm:f>
            <x14:dxf>
              <fill>
                <patternFill>
                  <bgColor theme="8" tint="-0.499984740745262"/>
                </patternFill>
              </fill>
            </x14:dxf>
          </x14:cfRule>
          <xm:sqref>AI18 AI20 AI22</xm:sqref>
        </x14:conditionalFormatting>
        <x14:conditionalFormatting xmlns:xm="http://schemas.microsoft.com/office/excel/2006/main">
          <x14:cfRule type="cellIs" priority="5379" operator="equal" id="{022FE500-E860-4C41-9747-2C9E9318C737}">
            <xm:f>'Clash Matrix Legend'!$A$12</xm:f>
            <x14:dxf>
              <fill>
                <patternFill>
                  <bgColor theme="8" tint="-0.499984740745262"/>
                </patternFill>
              </fill>
            </x14:dxf>
          </x14:cfRule>
          <x14:cfRule type="cellIs" priority="5411" operator="equal" id="{96EC634A-BC40-4BEE-A069-27D1C49FF742}">
            <xm:f>'Clash Matrix Legend'!$A$9</xm:f>
            <x14:dxf>
              <fill>
                <patternFill>
                  <bgColor theme="8" tint="0.79998168889431442"/>
                </patternFill>
              </fill>
            </x14:dxf>
          </x14:cfRule>
          <x14:cfRule type="cellIs" priority="5383" operator="equal" id="{0BA4B253-446E-4DFA-BAA7-C443AF60D7B5}">
            <xm:f>'Clash Matrix Legend'!$A$11</xm:f>
            <x14:dxf>
              <fill>
                <patternFill>
                  <bgColor theme="8" tint="-0.24994659260841701"/>
                </patternFill>
              </fill>
            </x14:dxf>
          </x14:cfRule>
          <x14:cfRule type="cellIs" priority="5384" operator="equal" id="{9AF3ED22-688F-460E-9CA1-1690AE0A8509}">
            <xm:f>'Clash Matrix Legend'!$A$10</xm:f>
            <x14:dxf>
              <fill>
                <patternFill>
                  <bgColor theme="8" tint="0.59996337778862885"/>
                </patternFill>
              </fill>
            </x14:dxf>
          </x14:cfRule>
          <x14:cfRule type="cellIs" priority="5375" operator="equal" id="{F9738F96-3EC0-4A2A-B1A4-91C224AABB5C}">
            <xm:f>'Clash Matrix Legend'!$A$10</xm:f>
            <x14:dxf>
              <fill>
                <patternFill>
                  <bgColor theme="8" tint="0.59996337778862885"/>
                </patternFill>
              </fill>
            </x14:dxf>
          </x14:cfRule>
          <x14:cfRule type="cellIs" priority="5374" operator="equal" id="{204C2477-07C4-46E9-9C9B-23D3B345AB62}">
            <xm:f>'Clash Matrix Legend'!$A$11</xm:f>
            <x14:dxf>
              <fill>
                <patternFill>
                  <bgColor theme="8" tint="-0.24994659260841701"/>
                </patternFill>
              </fill>
            </x14:dxf>
          </x14:cfRule>
          <x14:cfRule type="cellIs" priority="5370" operator="equal" id="{D9E4706D-F298-403B-90F6-5D2285E81F21}">
            <xm:f>'Clash Matrix Legend'!$A$12</xm:f>
            <x14:dxf>
              <fill>
                <patternFill>
                  <bgColor theme="8" tint="-0.499984740745262"/>
                </patternFill>
              </fill>
            </x14:dxf>
          </x14:cfRule>
          <x14:cfRule type="cellIs" priority="5410" operator="equal" id="{DB42FD5B-0719-4CBD-AF14-31C4803D87A2}">
            <xm:f>'Clash Matrix Legend'!$A$10</xm:f>
            <x14:dxf>
              <fill>
                <patternFill>
                  <bgColor theme="8" tint="0.59996337778862885"/>
                </patternFill>
              </fill>
            </x14:dxf>
          </x14:cfRule>
          <x14:cfRule type="cellIs" priority="5388" operator="equal" id="{B6A57392-929F-429F-B458-846FCBE38273}">
            <xm:f>'Clash Matrix Legend'!$A$12</xm:f>
            <x14:dxf>
              <fill>
                <patternFill>
                  <bgColor theme="8" tint="-0.499984740745262"/>
                </patternFill>
              </fill>
            </x14:dxf>
          </x14:cfRule>
          <x14:cfRule type="cellIs" priority="5409" operator="equal" id="{D95824CB-8FAC-40A7-B39C-0FDD2B8F8A89}">
            <xm:f>'Clash Matrix Legend'!$A$11</xm:f>
            <x14:dxf>
              <fill>
                <patternFill>
                  <bgColor theme="8" tint="-0.24994659260841701"/>
                </patternFill>
              </fill>
            </x14:dxf>
          </x14:cfRule>
          <x14:cfRule type="cellIs" priority="5405" operator="equal" id="{3BDF1EE8-5D1D-477C-8F9E-2613184E5D7A}">
            <xm:f>'Clash Matrix Legend'!$A$12</xm:f>
            <x14:dxf>
              <fill>
                <patternFill>
                  <bgColor theme="8" tint="-0.499984740745262"/>
                </patternFill>
              </fill>
            </x14:dxf>
          </x14:cfRule>
          <x14:cfRule type="cellIs" priority="5402" operator="equal" id="{413B65AA-2D17-46F6-A98A-5A44D0ADAED3}">
            <xm:f>'Clash Matrix Legend'!$A$9</xm:f>
            <x14:dxf>
              <fill>
                <patternFill>
                  <bgColor theme="8" tint="0.79998168889431442"/>
                </patternFill>
              </fill>
            </x14:dxf>
          </x14:cfRule>
          <x14:cfRule type="cellIs" priority="5401" operator="equal" id="{91D3D562-7D2B-42C2-A7E1-3BAECC02FCCC}">
            <xm:f>'Clash Matrix Legend'!$A$10</xm:f>
            <x14:dxf>
              <fill>
                <patternFill>
                  <bgColor theme="8" tint="0.59996337778862885"/>
                </patternFill>
              </fill>
            </x14:dxf>
          </x14:cfRule>
          <x14:cfRule type="cellIs" priority="5400" operator="equal" id="{4C89E251-0E78-42CB-8ED0-1DC13DDD8588}">
            <xm:f>'Clash Matrix Legend'!$A$11</xm:f>
            <x14:dxf>
              <fill>
                <patternFill>
                  <bgColor theme="8" tint="-0.24994659260841701"/>
                </patternFill>
              </fill>
            </x14:dxf>
          </x14:cfRule>
          <x14:cfRule type="cellIs" priority="5376" operator="equal" id="{3E20278E-FEB4-49C3-9A7D-301E4C8CE630}">
            <xm:f>'Clash Matrix Legend'!$A$9</xm:f>
            <x14:dxf>
              <fill>
                <patternFill>
                  <bgColor theme="8" tint="0.79998168889431442"/>
                </patternFill>
              </fill>
            </x14:dxf>
          </x14:cfRule>
          <x14:cfRule type="cellIs" priority="5396" operator="equal" id="{78EB8B6F-761B-4A71-BBE7-6643E10225A4}">
            <xm:f>'Clash Matrix Legend'!$A$12</xm:f>
            <x14:dxf>
              <fill>
                <patternFill>
                  <bgColor theme="8" tint="-0.499984740745262"/>
                </patternFill>
              </fill>
            </x14:dxf>
          </x14:cfRule>
          <x14:cfRule type="cellIs" priority="5394" operator="equal" id="{3C94EF97-AA80-4527-90D6-D0CF9BBF3811}">
            <xm:f>'Clash Matrix Legend'!$A$9</xm:f>
            <x14:dxf>
              <fill>
                <patternFill>
                  <bgColor theme="8" tint="0.79998168889431442"/>
                </patternFill>
              </fill>
            </x14:dxf>
          </x14:cfRule>
          <x14:cfRule type="cellIs" priority="5393" operator="equal" id="{8AAF0AA6-305B-4801-A4BD-5B7D423344F6}">
            <xm:f>'Clash Matrix Legend'!$A$10</xm:f>
            <x14:dxf>
              <fill>
                <patternFill>
                  <bgColor theme="8" tint="0.59996337778862885"/>
                </patternFill>
              </fill>
            </x14:dxf>
          </x14:cfRule>
          <x14:cfRule type="cellIs" priority="5392" operator="equal" id="{0141BF8E-643A-442C-B253-4C3D53A65C51}">
            <xm:f>'Clash Matrix Legend'!$A$11</xm:f>
            <x14:dxf>
              <fill>
                <patternFill>
                  <bgColor theme="8" tint="-0.24994659260841701"/>
                </patternFill>
              </fill>
            </x14:dxf>
          </x14:cfRule>
          <x14:cfRule type="cellIs" priority="5385" operator="equal" id="{7C4FE4A6-D6D7-4EA1-9E0B-51A59CE2A546}">
            <xm:f>'Clash Matrix Legend'!$A$9</xm:f>
            <x14:dxf>
              <fill>
                <patternFill>
                  <bgColor theme="8" tint="0.79998168889431442"/>
                </patternFill>
              </fill>
            </x14:dxf>
          </x14:cfRule>
          <x14:cfRule type="cellIs" priority="8555" operator="equal" id="{DB42FD5B-0719-4CBD-AF14-31C4803D87A2}">
            <xm:f>'Clash Matrix Legend'!$A$9</xm:f>
            <x14:dxf>
              <fill>
                <patternFill>
                  <bgColor theme="8" tint="0.59996337778862885"/>
                </patternFill>
              </fill>
            </x14:dxf>
          </x14:cfRule>
          <xm:sqref>AI18</xm:sqref>
        </x14:conditionalFormatting>
        <x14:conditionalFormatting xmlns:xm="http://schemas.microsoft.com/office/excel/2006/main">
          <x14:cfRule type="cellIs" priority="7660" operator="equal" id="{96EC634A-BC40-4BEE-A069-27D1C49FF742}">
            <xm:f>'Clash Matrix Legend'!#REF!</xm:f>
            <x14:dxf>
              <fill>
                <patternFill>
                  <bgColor theme="8" tint="0.79998168889431442"/>
                </patternFill>
              </fill>
            </x14:dxf>
          </x14:cfRule>
          <x14:cfRule type="cellIs" priority="7619" operator="equal" id="{D9E4706D-F298-403B-90F6-5D2285E81F21}">
            <xm:f>'Clash Matrix Legend'!$A$11</xm:f>
            <x14:dxf>
              <fill>
                <patternFill>
                  <bgColor theme="8" tint="-0.499984740745262"/>
                </patternFill>
              </fill>
            </x14:dxf>
          </x14:cfRule>
          <xm:sqref>AI20 AI22 AI18</xm:sqref>
        </x14:conditionalFormatting>
        <x14:conditionalFormatting xmlns:xm="http://schemas.microsoft.com/office/excel/2006/main">
          <x14:cfRule type="cellIs" priority="8554" operator="equal" id="{D95824CB-8FAC-40A7-B39C-0FDD2B8F8A89}">
            <xm:f>'Clash Matrix Legend'!$A$10</xm:f>
            <x14:dxf>
              <fill>
                <patternFill>
                  <bgColor theme="8" tint="-0.24994659260841701"/>
                </patternFill>
              </fill>
            </x14:dxf>
          </x14:cfRule>
          <xm:sqref>AI20 AI22</xm:sqref>
        </x14:conditionalFormatting>
        <x14:conditionalFormatting xmlns:xm="http://schemas.microsoft.com/office/excel/2006/main">
          <x14:cfRule type="cellIs" priority="5547" operator="equal" id="{28B8DC32-263A-4E81-BD32-8E4689BF9EBA}">
            <xm:f>'Clash Matrix Legend'!$A$12</xm:f>
            <x14:dxf>
              <fill>
                <patternFill>
                  <bgColor theme="8" tint="-0.499984740745262"/>
                </patternFill>
              </fill>
            </x14:dxf>
          </x14:cfRule>
          <x14:cfRule type="cellIs" priority="5551" operator="equal" id="{69F662C4-70CD-4B0D-A772-AB61C3914899}">
            <xm:f>'Clash Matrix Legend'!$A$11</xm:f>
            <x14:dxf>
              <fill>
                <patternFill>
                  <bgColor theme="8" tint="-0.24994659260841701"/>
                </patternFill>
              </fill>
            </x14:dxf>
          </x14:cfRule>
          <x14:cfRule type="cellIs" priority="5552" operator="equal" id="{8130A4C6-1E84-49E1-AED1-E0B6271B67BF}">
            <xm:f>'Clash Matrix Legend'!$A$10</xm:f>
            <x14:dxf>
              <fill>
                <patternFill>
                  <bgColor theme="8" tint="0.59996337778862885"/>
                </patternFill>
              </fill>
            </x14:dxf>
          </x14:cfRule>
          <x14:cfRule type="cellIs" priority="5553" operator="equal" id="{8F94B834-F9F2-4FBE-8BFE-280909ED574A}">
            <xm:f>'Clash Matrix Legend'!$A$9</xm:f>
            <x14:dxf>
              <fill>
                <patternFill>
                  <bgColor theme="8" tint="0.79998168889431442"/>
                </patternFill>
              </fill>
            </x14:dxf>
          </x14:cfRule>
          <x14:cfRule type="cellIs" priority="5556" operator="equal" id="{1734B8FC-A56D-42E2-B923-44CA5B1FF07F}">
            <xm:f>'Clash Matrix Legend'!$A$12</xm:f>
            <x14:dxf>
              <fill>
                <patternFill>
                  <bgColor theme="8" tint="-0.499984740745262"/>
                </patternFill>
              </fill>
            </x14:dxf>
          </x14:cfRule>
          <x14:cfRule type="cellIs" priority="5560" operator="equal" id="{47ACE0F6-D7D2-4330-8BF4-68DB1C40FBF0}">
            <xm:f>'Clash Matrix Legend'!$A$11</xm:f>
            <x14:dxf>
              <fill>
                <patternFill>
                  <bgColor theme="8" tint="-0.24994659260841701"/>
                </patternFill>
              </fill>
            </x14:dxf>
          </x14:cfRule>
          <x14:cfRule type="cellIs" priority="5561" operator="equal" id="{428C7301-BD07-4694-991A-04E1B16F19BE}">
            <xm:f>'Clash Matrix Legend'!$A$10</xm:f>
            <x14:dxf>
              <fill>
                <patternFill>
                  <bgColor theme="8" tint="0.59996337778862885"/>
                </patternFill>
              </fill>
            </x14:dxf>
          </x14:cfRule>
          <x14:cfRule type="cellIs" priority="5562" operator="equal" id="{A50FD564-5ABB-40ED-AD47-F08E68BD0EAF}">
            <xm:f>'Clash Matrix Legend'!$A$9</xm:f>
            <x14:dxf>
              <fill>
                <patternFill>
                  <bgColor theme="8" tint="0.79998168889431442"/>
                </patternFill>
              </fill>
            </x14:dxf>
          </x14:cfRule>
          <x14:cfRule type="cellIs" priority="5565" operator="equal" id="{038003D8-77FE-4E14-8925-D1BF68DF021C}">
            <xm:f>'Clash Matrix Legend'!$A$12</xm:f>
            <x14:dxf>
              <fill>
                <patternFill>
                  <bgColor theme="8" tint="-0.499984740745262"/>
                </patternFill>
              </fill>
            </x14:dxf>
          </x14:cfRule>
          <x14:cfRule type="cellIs" priority="5569" operator="equal" id="{5BFF504A-1C51-4A91-83C7-AAA8BDC2B77A}">
            <xm:f>'Clash Matrix Legend'!$A$11</xm:f>
            <x14:dxf>
              <fill>
                <patternFill>
                  <bgColor theme="8" tint="-0.24994659260841701"/>
                </patternFill>
              </fill>
            </x14:dxf>
          </x14:cfRule>
          <x14:cfRule type="cellIs" priority="5570" operator="equal" id="{237DFAF9-CAC6-4BA2-8A78-201AD3BC6C9B}">
            <xm:f>'Clash Matrix Legend'!$A$10</xm:f>
            <x14:dxf>
              <fill>
                <patternFill>
                  <bgColor theme="8" tint="0.59996337778862885"/>
                </patternFill>
              </fill>
            </x14:dxf>
          </x14:cfRule>
          <x14:cfRule type="cellIs" priority="5571" operator="equal" id="{9A85835D-61FA-4497-8C31-C8097F7B38C5}">
            <xm:f>'Clash Matrix Legend'!$A$9</xm:f>
            <x14:dxf>
              <fill>
                <patternFill>
                  <bgColor theme="8" tint="0.79998168889431442"/>
                </patternFill>
              </fill>
            </x14:dxf>
          </x14:cfRule>
          <x14:cfRule type="cellIs" priority="5586" operator="equal" id="{BEEFA099-D104-43C2-8E5A-92C12778E05E}">
            <xm:f>'Clash Matrix Legend'!$A$11</xm:f>
            <x14:dxf>
              <fill>
                <patternFill>
                  <bgColor theme="8" tint="-0.24994659260841701"/>
                </patternFill>
              </fill>
            </x14:dxf>
          </x14:cfRule>
          <x14:cfRule type="cellIs" priority="5588" operator="equal" id="{D0992C8E-C379-4D2A-99A6-516DDAF8415F}">
            <xm:f>'Clash Matrix Legend'!$A$9</xm:f>
            <x14:dxf>
              <fill>
                <patternFill>
                  <bgColor theme="8" tint="0.79998168889431442"/>
                </patternFill>
              </fill>
            </x14:dxf>
          </x14:cfRule>
          <x14:cfRule type="cellIs" priority="5587" operator="equal" id="{C1411C9E-937A-42D8-AA66-7C988E187E05}">
            <xm:f>'Clash Matrix Legend'!$A$10</xm:f>
            <x14:dxf>
              <fill>
                <patternFill>
                  <bgColor theme="8" tint="0.59996337778862885"/>
                </patternFill>
              </fill>
            </x14:dxf>
          </x14:cfRule>
          <x14:cfRule type="cellIs" priority="5573" operator="equal" id="{A2DDC025-00DB-473E-BB65-F424F71D4BAE}">
            <xm:f>'Clash Matrix Legend'!$A$12</xm:f>
            <x14:dxf>
              <fill>
                <patternFill>
                  <bgColor theme="8" tint="-0.499984740745262"/>
                </patternFill>
              </fill>
            </x14:dxf>
          </x14:cfRule>
          <x14:cfRule type="cellIs" priority="5577" operator="equal" id="{384A7C39-D975-4F0A-9429-84C4E34B5FEC}">
            <xm:f>'Clash Matrix Legend'!$A$11</xm:f>
            <x14:dxf>
              <fill>
                <patternFill>
                  <bgColor theme="8" tint="-0.24994659260841701"/>
                </patternFill>
              </fill>
            </x14:dxf>
          </x14:cfRule>
          <x14:cfRule type="cellIs" priority="5578" operator="equal" id="{92A21FB5-C5EB-4DBA-9B81-7595D10745C8}">
            <xm:f>'Clash Matrix Legend'!$A$10</xm:f>
            <x14:dxf>
              <fill>
                <patternFill>
                  <bgColor theme="8" tint="0.59996337778862885"/>
                </patternFill>
              </fill>
            </x14:dxf>
          </x14:cfRule>
          <x14:cfRule type="cellIs" priority="5579" operator="equal" id="{F144DD12-DA22-43F0-9896-60DC1EE0688A}">
            <xm:f>'Clash Matrix Legend'!$A$9</xm:f>
            <x14:dxf>
              <fill>
                <patternFill>
                  <bgColor theme="8" tint="0.79998168889431442"/>
                </patternFill>
              </fill>
            </x14:dxf>
          </x14:cfRule>
          <x14:cfRule type="cellIs" priority="5582" operator="equal" id="{54159A58-43B0-45EA-A577-D92AEA341591}">
            <xm:f>'Clash Matrix Legend'!$A$12</xm:f>
            <x14:dxf>
              <fill>
                <patternFill>
                  <bgColor theme="8" tint="-0.499984740745262"/>
                </patternFill>
              </fill>
            </x14:dxf>
          </x14:cfRule>
          <xm:sqref>AI20</xm:sqref>
        </x14:conditionalFormatting>
        <x14:conditionalFormatting xmlns:xm="http://schemas.microsoft.com/office/excel/2006/main">
          <x14:cfRule type="cellIs" priority="5632" operator="equal" id="{464A1E3C-0427-4B87-8CFA-D94F5A7B6E12}">
            <xm:f>'Clash Matrix Legend'!$A$12</xm:f>
            <x14:dxf>
              <fill>
                <patternFill>
                  <bgColor theme="8" tint="-0.499984740745262"/>
                </patternFill>
              </fill>
            </x14:dxf>
          </x14:cfRule>
          <x14:cfRule type="cellIs" priority="5630" operator="equal" id="{271B9D2E-5B4B-4AA1-B279-15519931624F}">
            <xm:f>'Clash Matrix Legend'!$A$9</xm:f>
            <x14:dxf>
              <fill>
                <patternFill>
                  <bgColor theme="8" tint="0.79998168889431442"/>
                </patternFill>
              </fill>
            </x14:dxf>
          </x14:cfRule>
          <x14:cfRule type="cellIs" priority="5629" operator="equal" id="{B9364E29-9861-4F3D-9F6B-E8B5AB8AA587}">
            <xm:f>'Clash Matrix Legend'!$A$10</xm:f>
            <x14:dxf>
              <fill>
                <patternFill>
                  <bgColor theme="8" tint="0.59996337778862885"/>
                </patternFill>
              </fill>
            </x14:dxf>
          </x14:cfRule>
          <x14:cfRule type="cellIs" priority="5628" operator="equal" id="{18E8C57C-1E6E-4D63-B800-C4CE7CEE64AE}">
            <xm:f>'Clash Matrix Legend'!$A$11</xm:f>
            <x14:dxf>
              <fill>
                <patternFill>
                  <bgColor theme="8" tint="-0.24994659260841701"/>
                </patternFill>
              </fill>
            </x14:dxf>
          </x14:cfRule>
          <x14:cfRule type="cellIs" priority="5624" operator="equal" id="{809313B9-233B-42CE-B7D3-69FDD64FE845}">
            <xm:f>'Clash Matrix Legend'!$A$12</xm:f>
            <x14:dxf>
              <fill>
                <patternFill>
                  <bgColor theme="8" tint="-0.499984740745262"/>
                </patternFill>
              </fill>
            </x14:dxf>
          </x14:cfRule>
          <x14:cfRule type="cellIs" priority="5621" operator="equal" id="{065BCF0E-BC03-468A-8DEB-C5F0F8F188DB}">
            <xm:f>'Clash Matrix Legend'!$A$9</xm:f>
            <x14:dxf>
              <fill>
                <patternFill>
                  <bgColor theme="8" tint="0.79998168889431442"/>
                </patternFill>
              </fill>
            </x14:dxf>
          </x14:cfRule>
          <x14:cfRule type="cellIs" priority="5620" operator="equal" id="{6510E8D6-3D1F-4E7E-9E5A-CBA4FF6774C8}">
            <xm:f>'Clash Matrix Legend'!$A$10</xm:f>
            <x14:dxf>
              <fill>
                <patternFill>
                  <bgColor theme="8" tint="0.59996337778862885"/>
                </patternFill>
              </fill>
            </x14:dxf>
          </x14:cfRule>
          <x14:cfRule type="cellIs" priority="5619" operator="equal" id="{CBB2DD96-ACC0-464F-B087-90FB7CDA47BF}">
            <xm:f>'Clash Matrix Legend'!$A$11</xm:f>
            <x14:dxf>
              <fill>
                <patternFill>
                  <bgColor theme="8" tint="-0.24994659260841701"/>
                </patternFill>
              </fill>
            </x14:dxf>
          </x14:cfRule>
          <x14:cfRule type="cellIs" priority="5615" operator="equal" id="{7433744D-5A35-4C78-87F6-60A48DF5906C}">
            <xm:f>'Clash Matrix Legend'!$A$12</xm:f>
            <x14:dxf>
              <fill>
                <patternFill>
                  <bgColor theme="8" tint="-0.499984740745262"/>
                </patternFill>
              </fill>
            </x14:dxf>
          </x14:cfRule>
          <x14:cfRule type="cellIs" priority="5612" operator="equal" id="{CD759708-9E3A-4CDC-912E-B8F2F331BF69}">
            <xm:f>'Clash Matrix Legend'!$A$9</xm:f>
            <x14:dxf>
              <fill>
                <patternFill>
                  <bgColor theme="8" tint="0.79998168889431442"/>
                </patternFill>
              </fill>
            </x14:dxf>
          </x14:cfRule>
          <x14:cfRule type="cellIs" priority="5611" operator="equal" id="{3EAB395A-5AA0-4DBF-94A5-FE7250447392}">
            <xm:f>'Clash Matrix Legend'!$A$10</xm:f>
            <x14:dxf>
              <fill>
                <patternFill>
                  <bgColor theme="8" tint="0.59996337778862885"/>
                </patternFill>
              </fill>
            </x14:dxf>
          </x14:cfRule>
          <x14:cfRule type="cellIs" priority="5610" operator="equal" id="{51B3A592-9476-482D-93C9-DDBC441EC694}">
            <xm:f>'Clash Matrix Legend'!$A$11</xm:f>
            <x14:dxf>
              <fill>
                <patternFill>
                  <bgColor theme="8" tint="-0.24994659260841701"/>
                </patternFill>
              </fill>
            </x14:dxf>
          </x14:cfRule>
          <x14:cfRule type="cellIs" priority="5606" operator="equal" id="{8D9784AC-CBA0-4ED9-AAFA-B4BEC244773F}">
            <xm:f>'Clash Matrix Legend'!$A$12</xm:f>
            <x14:dxf>
              <fill>
                <patternFill>
                  <bgColor theme="8" tint="-0.499984740745262"/>
                </patternFill>
              </fill>
            </x14:dxf>
          </x14:cfRule>
          <x14:cfRule type="cellIs" priority="5647" operator="equal" id="{83614A0D-005A-4113-9490-A30D2CB2C8B7}">
            <xm:f>'Clash Matrix Legend'!$A$9</xm:f>
            <x14:dxf>
              <fill>
                <patternFill>
                  <bgColor theme="8" tint="0.79998168889431442"/>
                </patternFill>
              </fill>
            </x14:dxf>
          </x14:cfRule>
          <x14:cfRule type="cellIs" priority="5646" operator="equal" id="{60D80C59-E60D-4ADD-9F2A-544476AAA0CE}">
            <xm:f>'Clash Matrix Legend'!$A$10</xm:f>
            <x14:dxf>
              <fill>
                <patternFill>
                  <bgColor theme="8" tint="0.59996337778862885"/>
                </patternFill>
              </fill>
            </x14:dxf>
          </x14:cfRule>
          <x14:cfRule type="cellIs" priority="5645" operator="equal" id="{B0A458E9-B6F7-4A5D-B403-5ED419F67C6D}">
            <xm:f>'Clash Matrix Legend'!$A$11</xm:f>
            <x14:dxf>
              <fill>
                <patternFill>
                  <bgColor theme="8" tint="-0.24994659260841701"/>
                </patternFill>
              </fill>
            </x14:dxf>
          </x14:cfRule>
          <x14:cfRule type="cellIs" priority="5641" operator="equal" id="{2F265F21-08DB-4333-A1F1-F5C75CB96AF4}">
            <xm:f>'Clash Matrix Legend'!$A$12</xm:f>
            <x14:dxf>
              <fill>
                <patternFill>
                  <bgColor theme="8" tint="-0.499984740745262"/>
                </patternFill>
              </fill>
            </x14:dxf>
          </x14:cfRule>
          <x14:cfRule type="cellIs" priority="5638" operator="equal" id="{C0C9370B-0380-4A57-BBCE-A504A045B431}">
            <xm:f>'Clash Matrix Legend'!$A$9</xm:f>
            <x14:dxf>
              <fill>
                <patternFill>
                  <bgColor theme="8" tint="0.79998168889431442"/>
                </patternFill>
              </fill>
            </x14:dxf>
          </x14:cfRule>
          <x14:cfRule type="cellIs" priority="5637" operator="equal" id="{852FD205-C877-4A8E-9968-375E3C29E1CF}">
            <xm:f>'Clash Matrix Legend'!$A$10</xm:f>
            <x14:dxf>
              <fill>
                <patternFill>
                  <bgColor theme="8" tint="0.59996337778862885"/>
                </patternFill>
              </fill>
            </x14:dxf>
          </x14:cfRule>
          <x14:cfRule type="cellIs" priority="5636" operator="equal" id="{DF2EC7FD-540E-4341-BFB7-28F8EEADD6B3}">
            <xm:f>'Clash Matrix Legend'!$A$11</xm:f>
            <x14:dxf>
              <fill>
                <patternFill>
                  <bgColor theme="8" tint="-0.24994659260841701"/>
                </patternFill>
              </fill>
            </x14:dxf>
          </x14:cfRule>
          <xm:sqref>AI22</xm:sqref>
        </x14:conditionalFormatting>
        <x14:conditionalFormatting xmlns:xm="http://schemas.microsoft.com/office/excel/2006/main">
          <x14:cfRule type="cellIs" priority="7761" operator="equal" id="{A3C0A4BA-02AC-4C41-A565-AC59B69F15EB}">
            <xm:f>'Clash Matrix Legend'!$A$10</xm:f>
            <x14:dxf>
              <fill>
                <patternFill>
                  <bgColor theme="8" tint="-0.24994659260841701"/>
                </patternFill>
              </fill>
            </x14:dxf>
          </x14:cfRule>
          <x14:cfRule type="cellIs" priority="7762" operator="equal" id="{17B87E79-8F5F-4DB0-801E-E44402C27ABB}">
            <xm:f>'Clash Matrix Legend'!$A$9</xm:f>
            <x14:dxf>
              <fill>
                <patternFill>
                  <bgColor theme="8" tint="0.59996337778862885"/>
                </patternFill>
              </fill>
            </x14:dxf>
          </x14:cfRule>
          <x14:cfRule type="cellIs" priority="7749" operator="equal" id="{1AFA131A-30FB-41C5-8699-FD715FC50F34}">
            <xm:f>'Clash Matrix Legend'!$A$10</xm:f>
            <x14:dxf>
              <fill>
                <patternFill>
                  <bgColor theme="8" tint="-0.24994659260841701"/>
                </patternFill>
              </fill>
            </x14:dxf>
          </x14:cfRule>
          <x14:cfRule type="cellIs" priority="7745" operator="equal" id="{34E39FB6-4D53-405D-BCA2-6BE28BD18237}">
            <xm:f>'Clash Matrix Legend'!$A$11</xm:f>
            <x14:dxf>
              <fill>
                <patternFill>
                  <bgColor theme="8" tint="-0.499984740745262"/>
                </patternFill>
              </fill>
            </x14:dxf>
          </x14:cfRule>
          <x14:cfRule type="cellIs" priority="7763" operator="equal" id="{7366BBD9-E6B8-4AF7-A13F-B48C1B7449DA}">
            <xm:f>'Clash Matrix Legend'!#REF!</xm:f>
            <x14:dxf>
              <fill>
                <patternFill>
                  <bgColor theme="8" tint="0.79998168889431442"/>
                </patternFill>
              </fill>
            </x14:dxf>
          </x14:cfRule>
          <x14:cfRule type="cellIs" priority="7750" operator="equal" id="{3E0094B2-D5E4-4563-A849-DB3AB6828879}">
            <xm:f>'Clash Matrix Legend'!$A$9</xm:f>
            <x14:dxf>
              <fill>
                <patternFill>
                  <bgColor theme="8" tint="0.59996337778862885"/>
                </patternFill>
              </fill>
            </x14:dxf>
          </x14:cfRule>
          <x14:cfRule type="cellIs" priority="7757" operator="equal" id="{64B013C8-5FE2-47F5-AAFD-6B2AE53E5FB3}">
            <xm:f>'Clash Matrix Legend'!$A$11</xm:f>
            <x14:dxf>
              <fill>
                <patternFill>
                  <bgColor theme="8" tint="-0.499984740745262"/>
                </patternFill>
              </fill>
            </x14:dxf>
          </x14:cfRule>
          <x14:cfRule type="cellIs" priority="7751" operator="equal" id="{BFCF701C-F672-4D7B-A82D-25A4B2936804}">
            <xm:f>'Clash Matrix Legend'!#REF!</xm:f>
            <x14:dxf>
              <fill>
                <patternFill>
                  <bgColor theme="8" tint="0.79998168889431442"/>
                </patternFill>
              </fill>
            </x14:dxf>
          </x14:cfRule>
          <xm:sqref>AI66:AI67 AJ69:AM69</xm:sqref>
        </x14:conditionalFormatting>
        <x14:conditionalFormatting xmlns:xm="http://schemas.microsoft.com/office/excel/2006/main">
          <x14:cfRule type="cellIs" priority="7654" operator="equal" id="{3BDF1EE8-5D1D-477C-8F9E-2613184E5D7A}">
            <xm:f>'Clash Matrix Legend'!$A$11</xm:f>
            <x14:dxf>
              <fill>
                <patternFill>
                  <bgColor theme="8" tint="-0.499984740745262"/>
                </patternFill>
              </fill>
            </x14:dxf>
          </x14:cfRule>
          <xm:sqref>AI18:AJ18 AI20 AI22</xm:sqref>
        </x14:conditionalFormatting>
        <x14:conditionalFormatting xmlns:xm="http://schemas.microsoft.com/office/excel/2006/main">
          <x14:cfRule type="cellIs" priority="7942" operator="equal" id="{61340ECB-7E63-41C6-BD3A-9016DC405237}">
            <xm:f>'Clash Matrix Legend'!$A$9</xm:f>
            <x14:dxf>
              <fill>
                <patternFill>
                  <bgColor theme="8" tint="0.59996337778862885"/>
                </patternFill>
              </fill>
            </x14:dxf>
          </x14:cfRule>
          <xm:sqref>AI20:AJ20 AI22:AJ22</xm:sqref>
        </x14:conditionalFormatting>
        <x14:conditionalFormatting xmlns:xm="http://schemas.microsoft.com/office/excel/2006/main">
          <x14:cfRule type="cellIs" priority="7791" operator="equal" id="{68B377BE-0A87-43BC-913A-BCFE4E2CF0F6}">
            <xm:f>'Clash Matrix Legend'!$A$10</xm:f>
            <x14:dxf>
              <fill>
                <patternFill>
                  <bgColor theme="8" tint="-0.24994659260841701"/>
                </patternFill>
              </fill>
            </x14:dxf>
          </x14:cfRule>
          <xm:sqref>AI64:AJ64 AI67:AM67 AJ69:AM69 AI65:AM65 AM64</xm:sqref>
        </x14:conditionalFormatting>
        <x14:conditionalFormatting xmlns:xm="http://schemas.microsoft.com/office/excel/2006/main">
          <x14:cfRule type="cellIs" priority="7801" operator="equal" id="{C0EB08A2-003A-48D5-8D91-27F63B44DC9A}">
            <xm:f>'Clash Matrix Legend'!#REF!</xm:f>
            <x14:dxf>
              <fill>
                <patternFill>
                  <bgColor theme="8" tint="0.79998168889431442"/>
                </patternFill>
              </fill>
            </x14:dxf>
          </x14:cfRule>
          <x14:cfRule type="cellIs" priority="7800" operator="equal" id="{74B0D1DB-13B5-488D-9956-D55B3F3088C3}">
            <xm:f>'Clash Matrix Legend'!$A$9</xm:f>
            <x14:dxf>
              <fill>
                <patternFill>
                  <bgColor theme="8" tint="0.59996337778862885"/>
                </patternFill>
              </fill>
            </x14:dxf>
          </x14:cfRule>
          <x14:cfRule type="cellIs" priority="7799" operator="equal" id="{E7C7724D-1A18-4722-8186-8CB8A259E4BC}">
            <xm:f>'Clash Matrix Legend'!$A$10</xm:f>
            <x14:dxf>
              <fill>
                <patternFill>
                  <bgColor theme="8" tint="-0.24994659260841701"/>
                </patternFill>
              </fill>
            </x14:dxf>
          </x14:cfRule>
          <x14:cfRule type="cellIs" priority="7795" operator="equal" id="{9AA37381-8480-4BAB-A6C0-046040B67727}">
            <xm:f>'Clash Matrix Legend'!$A$11</xm:f>
            <x14:dxf>
              <fill>
                <patternFill>
                  <bgColor theme="8" tint="-0.499984740745262"/>
                </patternFill>
              </fill>
            </x14:dxf>
          </x14:cfRule>
          <x14:cfRule type="cellIs" priority="7793" operator="equal" id="{B38F40E2-BA00-4807-AF8E-AC568F5EEF61}">
            <xm:f>'Clash Matrix Legend'!#REF!</xm:f>
            <x14:dxf>
              <fill>
                <patternFill>
                  <bgColor theme="8" tint="0.79998168889431442"/>
                </patternFill>
              </fill>
            </x14:dxf>
          </x14:cfRule>
          <x14:cfRule type="cellIs" priority="7792" operator="equal" id="{B146F12E-C4F5-4EC8-A1B3-202C388D2BCD}">
            <xm:f>'Clash Matrix Legend'!$A$9</xm:f>
            <x14:dxf>
              <fill>
                <patternFill>
                  <bgColor theme="8" tint="0.59996337778862885"/>
                </patternFill>
              </fill>
            </x14:dxf>
          </x14:cfRule>
          <xm:sqref>AI64:AJ64 AM64 AI65:AM65 AI67:AM67 AJ69:AM69</xm:sqref>
        </x14:conditionalFormatting>
        <x14:conditionalFormatting xmlns:xm="http://schemas.microsoft.com/office/excel/2006/main">
          <x14:cfRule type="cellIs" priority="7853" operator="equal" id="{256B679B-2231-47E1-BEA3-6E94FF4AE96A}">
            <xm:f>'Clash Matrix Legend'!$A$11</xm:f>
            <x14:dxf>
              <fill>
                <patternFill>
                  <bgColor theme="8" tint="-0.499984740745262"/>
                </patternFill>
              </fill>
            </x14:dxf>
          </x14:cfRule>
          <x14:cfRule type="cellIs" priority="7856" operator="equal" id="{CF2C2D06-5DD5-4FA9-9868-3C86E61B05AD}">
            <xm:f>'Clash Matrix Legend'!$A$10</xm:f>
            <x14:dxf>
              <fill>
                <patternFill>
                  <bgColor theme="8" tint="-0.24994659260841701"/>
                </patternFill>
              </fill>
            </x14:dxf>
          </x14:cfRule>
          <x14:cfRule type="cellIs" priority="7857" operator="equal" id="{6BE2FE9D-10AA-416B-BE1E-51EEDAF56709}">
            <xm:f>'Clash Matrix Legend'!$A$9</xm:f>
            <x14:dxf>
              <fill>
                <patternFill>
                  <bgColor theme="8" tint="0.59996337778862885"/>
                </patternFill>
              </fill>
            </x14:dxf>
          </x14:cfRule>
          <x14:cfRule type="cellIs" priority="7858" operator="equal" id="{6B4E949C-5A9D-4951-831A-1E83C0B8E0C6}">
            <xm:f>'Clash Matrix Legend'!#REF!</xm:f>
            <x14:dxf>
              <fill>
                <patternFill>
                  <bgColor theme="8" tint="0.79998168889431442"/>
                </patternFill>
              </fill>
            </x14:dxf>
          </x14:cfRule>
          <xm:sqref>AI65:AM65 AI67:AM67 AJ69:AM69</xm:sqref>
        </x14:conditionalFormatting>
        <x14:conditionalFormatting xmlns:xm="http://schemas.microsoft.com/office/excel/2006/main">
          <x14:cfRule type="cellIs" priority="7787" operator="equal" id="{8CB4526D-F667-4FF0-819F-0F7827C0C18B}">
            <xm:f>'Clash Matrix Legend'!$A$11</xm:f>
            <x14:dxf>
              <fill>
                <patternFill>
                  <bgColor theme="8" tint="-0.499984740745262"/>
                </patternFill>
              </fill>
            </x14:dxf>
          </x14:cfRule>
          <xm:sqref>AI67:AM67 AJ69:AM69 AI64:AJ64</xm:sqref>
        </x14:conditionalFormatting>
        <x14:conditionalFormatting xmlns:xm="http://schemas.microsoft.com/office/excel/2006/main">
          <x14:cfRule type="cellIs" priority="7786" operator="equal" id="{08ED1869-ADF0-45BA-AA47-7DD6F56DB817}">
            <xm:f>'Clash Matrix Legend'!#REF!</xm:f>
            <x14:dxf>
              <fill>
                <patternFill>
                  <bgColor theme="8" tint="0.79998168889431442"/>
                </patternFill>
              </fill>
            </x14:dxf>
          </x14:cfRule>
          <x14:cfRule type="cellIs" priority="7784" operator="equal" id="{0B485961-5061-4360-BA02-D3D34459BDD3}">
            <xm:f>'Clash Matrix Legend'!$A$10</xm:f>
            <x14:dxf>
              <fill>
                <patternFill>
                  <bgColor theme="8" tint="-0.24994659260841701"/>
                </patternFill>
              </fill>
            </x14:dxf>
          </x14:cfRule>
          <x14:cfRule type="cellIs" priority="7785" operator="equal" id="{F53B8F7B-8C93-479C-9FAD-0399417F842F}">
            <xm:f>'Clash Matrix Legend'!$A$9</xm:f>
            <x14:dxf>
              <fill>
                <patternFill>
                  <bgColor theme="8" tint="0.59996337778862885"/>
                </patternFill>
              </fill>
            </x14:dxf>
          </x14:cfRule>
          <x14:cfRule type="cellIs" priority="7781" operator="equal" id="{CC2EBD7D-A994-49C4-9564-EDE3BF307476}">
            <xm:f>'Clash Matrix Legend'!$A$11</xm:f>
            <x14:dxf>
              <fill>
                <patternFill>
                  <bgColor theme="8" tint="-0.499984740745262"/>
                </patternFill>
              </fill>
            </x14:dxf>
          </x14:cfRule>
          <x14:cfRule type="cellIs" priority="7780" operator="equal" id="{7D9C3A04-164D-46E7-97F2-1DF7F089731F}">
            <xm:f>'Clash Matrix Legend'!#REF!</xm:f>
            <x14:dxf>
              <fill>
                <patternFill>
                  <bgColor theme="8" tint="0.79998168889431442"/>
                </patternFill>
              </fill>
            </x14:dxf>
          </x14:cfRule>
          <x14:cfRule type="cellIs" priority="7779" operator="equal" id="{F5BFAC91-8F31-4209-BA4F-0BA45B4FB5F8}">
            <xm:f>'Clash Matrix Legend'!$A$9</xm:f>
            <x14:dxf>
              <fill>
                <patternFill>
                  <bgColor theme="8" tint="0.59996337778862885"/>
                </patternFill>
              </fill>
            </x14:dxf>
          </x14:cfRule>
          <x14:cfRule type="cellIs" priority="7778" operator="equal" id="{B3FF48EB-5412-4F53-82F9-9B9106F91491}">
            <xm:f>'Clash Matrix Legend'!$A$10</xm:f>
            <x14:dxf>
              <fill>
                <patternFill>
                  <bgColor theme="8" tint="-0.24994659260841701"/>
                </patternFill>
              </fill>
            </x14:dxf>
          </x14:cfRule>
          <xm:sqref>AI67:AM67 AJ69:AM69</xm:sqref>
        </x14:conditionalFormatting>
        <x14:conditionalFormatting xmlns:xm="http://schemas.microsoft.com/office/excel/2006/main">
          <x14:cfRule type="cellIs" priority="5311" operator="equal" id="{A339B29B-EACD-4117-8346-415ECADEED6C}">
            <xm:f>'Clash Matrix Legend'!$A$12</xm:f>
            <x14:dxf>
              <fill>
                <patternFill>
                  <bgColor theme="8" tint="-0.499984740745262"/>
                </patternFill>
              </fill>
            </x14:dxf>
          </x14:cfRule>
          <x14:cfRule type="cellIs" priority="5352" operator="equal" id="{8B8B522F-AFA5-49F3-88E7-2AC9D9A86EEA}">
            <xm:f>'Clash Matrix Legend'!$A$9</xm:f>
            <x14:dxf>
              <fill>
                <patternFill>
                  <bgColor theme="8" tint="0.79998168889431442"/>
                </patternFill>
              </fill>
            </x14:dxf>
          </x14:cfRule>
          <x14:cfRule type="cellIs" priority="5351" operator="equal" id="{2589AFCF-A81C-4B2F-8B93-7B87671C1F6A}">
            <xm:f>'Clash Matrix Legend'!$A$10</xm:f>
            <x14:dxf>
              <fill>
                <patternFill>
                  <bgColor theme="8" tint="0.59996337778862885"/>
                </patternFill>
              </fill>
            </x14:dxf>
          </x14:cfRule>
          <x14:cfRule type="cellIs" priority="5350" operator="equal" id="{190FEDD4-A80C-427B-AEE2-A0F0ACDC12AE}">
            <xm:f>'Clash Matrix Legend'!$A$11</xm:f>
            <x14:dxf>
              <fill>
                <patternFill>
                  <bgColor theme="8" tint="-0.24994659260841701"/>
                </patternFill>
              </fill>
            </x14:dxf>
          </x14:cfRule>
          <x14:cfRule type="cellIs" priority="5346" operator="equal" id="{28C2E91E-E347-4540-900D-68811FD968AD}">
            <xm:f>'Clash Matrix Legend'!$A$12</xm:f>
            <x14:dxf>
              <fill>
                <patternFill>
                  <bgColor theme="8" tint="-0.499984740745262"/>
                </patternFill>
              </fill>
            </x14:dxf>
          </x14:cfRule>
          <x14:cfRule type="cellIs" priority="5343" operator="equal" id="{64F97B62-B019-4ECA-B4B1-1F8044F1307C}">
            <xm:f>'Clash Matrix Legend'!$A$9</xm:f>
            <x14:dxf>
              <fill>
                <patternFill>
                  <bgColor theme="8" tint="0.79998168889431442"/>
                </patternFill>
              </fill>
            </x14:dxf>
          </x14:cfRule>
          <x14:cfRule type="cellIs" priority="5342" operator="equal" id="{DFEA22E2-2032-47ED-9CB3-CBF7D06924DE}">
            <xm:f>'Clash Matrix Legend'!$A$10</xm:f>
            <x14:dxf>
              <fill>
                <patternFill>
                  <bgColor theme="8" tint="0.59996337778862885"/>
                </patternFill>
              </fill>
            </x14:dxf>
          </x14:cfRule>
          <x14:cfRule type="cellIs" priority="5341" operator="equal" id="{D26C45A0-6F4B-4A45-A9FC-A8497FFD1C6C}">
            <xm:f>'Clash Matrix Legend'!$A$11</xm:f>
            <x14:dxf>
              <fill>
                <patternFill>
                  <bgColor theme="8" tint="-0.24994659260841701"/>
                </patternFill>
              </fill>
            </x14:dxf>
          </x14:cfRule>
          <x14:cfRule type="cellIs" priority="5337" operator="equal" id="{1944DD66-FEBE-4B9E-90E7-0CC682CD2AC8}">
            <xm:f>'Clash Matrix Legend'!$A$12</xm:f>
            <x14:dxf>
              <fill>
                <patternFill>
                  <bgColor theme="8" tint="-0.499984740745262"/>
                </patternFill>
              </fill>
            </x14:dxf>
          </x14:cfRule>
          <x14:cfRule type="cellIs" priority="5335" operator="equal" id="{3B923B05-0749-4006-8789-6702E89306EA}">
            <xm:f>'Clash Matrix Legend'!$A$9</xm:f>
            <x14:dxf>
              <fill>
                <patternFill>
                  <bgColor theme="8" tint="0.79998168889431442"/>
                </patternFill>
              </fill>
            </x14:dxf>
          </x14:cfRule>
          <x14:cfRule type="cellIs" priority="5334" operator="equal" id="{1F55BCBF-DC80-4E23-AC8F-EE446ED90892}">
            <xm:f>'Clash Matrix Legend'!$A$10</xm:f>
            <x14:dxf>
              <fill>
                <patternFill>
                  <bgColor theme="8" tint="0.59996337778862885"/>
                </patternFill>
              </fill>
            </x14:dxf>
          </x14:cfRule>
          <x14:cfRule type="cellIs" priority="5333" operator="equal" id="{8BC7B174-6117-4FA4-B96D-B19C7D6AE664}">
            <xm:f>'Clash Matrix Legend'!$A$11</xm:f>
            <x14:dxf>
              <fill>
                <patternFill>
                  <bgColor theme="8" tint="-0.24994659260841701"/>
                </patternFill>
              </fill>
            </x14:dxf>
          </x14:cfRule>
          <x14:cfRule type="cellIs" priority="5329" operator="equal" id="{0A9E6CFF-1B5B-4DD9-A2DD-21808484E070}">
            <xm:f>'Clash Matrix Legend'!$A$12</xm:f>
            <x14:dxf>
              <fill>
                <patternFill>
                  <bgColor theme="8" tint="-0.499984740745262"/>
                </patternFill>
              </fill>
            </x14:dxf>
          </x14:cfRule>
          <x14:cfRule type="cellIs" priority="5326" operator="equal" id="{BBEFFCA0-28EB-456D-9390-CBC1E8BBC171}">
            <xm:f>'Clash Matrix Legend'!$A$9</xm:f>
            <x14:dxf>
              <fill>
                <patternFill>
                  <bgColor theme="8" tint="0.79998168889431442"/>
                </patternFill>
              </fill>
            </x14:dxf>
          </x14:cfRule>
          <x14:cfRule type="cellIs" priority="5325" operator="equal" id="{9B121F35-776E-49BA-B318-582EB3EE0CAF}">
            <xm:f>'Clash Matrix Legend'!$A$10</xm:f>
            <x14:dxf>
              <fill>
                <patternFill>
                  <bgColor theme="8" tint="0.59996337778862885"/>
                </patternFill>
              </fill>
            </x14:dxf>
          </x14:cfRule>
          <x14:cfRule type="cellIs" priority="5324" operator="equal" id="{BFC1EAA7-3C4B-436A-93CD-76902039D6ED}">
            <xm:f>'Clash Matrix Legend'!$A$11</xm:f>
            <x14:dxf>
              <fill>
                <patternFill>
                  <bgColor theme="8" tint="-0.24994659260841701"/>
                </patternFill>
              </fill>
            </x14:dxf>
          </x14:cfRule>
          <x14:cfRule type="cellIs" priority="5320" operator="equal" id="{51532A00-B10F-4EA7-9B0D-F3C47B06CDB5}">
            <xm:f>'Clash Matrix Legend'!$A$12</xm:f>
            <x14:dxf>
              <fill>
                <patternFill>
                  <bgColor theme="8" tint="-0.499984740745262"/>
                </patternFill>
              </fill>
            </x14:dxf>
          </x14:cfRule>
          <x14:cfRule type="cellIs" priority="5317" operator="equal" id="{38BCA472-5249-4140-9B50-D1127D9F0577}">
            <xm:f>'Clash Matrix Legend'!$A$9</xm:f>
            <x14:dxf>
              <fill>
                <patternFill>
                  <bgColor theme="8" tint="0.79998168889431442"/>
                </patternFill>
              </fill>
            </x14:dxf>
          </x14:cfRule>
          <x14:cfRule type="cellIs" priority="5316" operator="equal" id="{81E2C2B6-C309-4345-91F9-C09E95EFCF44}">
            <xm:f>'Clash Matrix Legend'!$A$10</xm:f>
            <x14:dxf>
              <fill>
                <patternFill>
                  <bgColor theme="8" tint="0.59996337778862885"/>
                </patternFill>
              </fill>
            </x14:dxf>
          </x14:cfRule>
          <x14:cfRule type="cellIs" priority="5315" operator="equal" id="{67ABFE40-9C22-4FAC-A424-97BC471CE88A}">
            <xm:f>'Clash Matrix Legend'!$A$11</xm:f>
            <x14:dxf>
              <fill>
                <patternFill>
                  <bgColor theme="8" tint="-0.24994659260841701"/>
                </patternFill>
              </fill>
            </x14:dxf>
          </x14:cfRule>
          <xm:sqref>AJ18</xm:sqref>
        </x14:conditionalFormatting>
        <x14:conditionalFormatting xmlns:xm="http://schemas.microsoft.com/office/excel/2006/main">
          <x14:cfRule type="cellIs" priority="5455" operator="equal" id="{39730C56-D067-4324-BC6E-2DB5D94BC3D2}">
            <xm:f>'Clash Matrix Legend'!$A$12</xm:f>
            <x14:dxf>
              <fill>
                <patternFill>
                  <bgColor theme="8" tint="-0.499984740745262"/>
                </patternFill>
              </fill>
            </x14:dxf>
          </x14:cfRule>
          <x14:cfRule type="cellIs" priority="5453" operator="equal" id="{315F0025-B22B-44F4-B94A-F84CBCF35077}">
            <xm:f>'Clash Matrix Legend'!$A$9</xm:f>
            <x14:dxf>
              <fill>
                <patternFill>
                  <bgColor theme="8" tint="0.79998168889431442"/>
                </patternFill>
              </fill>
            </x14:dxf>
          </x14:cfRule>
          <x14:cfRule type="cellIs" priority="5452" operator="equal" id="{DEA2324D-0955-4D81-AD99-244C8AAA874A}">
            <xm:f>'Clash Matrix Legend'!$A$10</xm:f>
            <x14:dxf>
              <fill>
                <patternFill>
                  <bgColor theme="8" tint="0.59996337778862885"/>
                </patternFill>
              </fill>
            </x14:dxf>
          </x14:cfRule>
          <x14:cfRule type="cellIs" priority="5451" operator="equal" id="{A91E1613-A734-4C89-B0F5-3666C1310FCA}">
            <xm:f>'Clash Matrix Legend'!$A$11</xm:f>
            <x14:dxf>
              <fill>
                <patternFill>
                  <bgColor theme="8" tint="-0.24994659260841701"/>
                </patternFill>
              </fill>
            </x14:dxf>
          </x14:cfRule>
          <x14:cfRule type="cellIs" priority="5447" operator="equal" id="{19B1AD0F-2EB1-484D-857E-44149F709B79}">
            <xm:f>'Clash Matrix Legend'!$A$12</xm:f>
            <x14:dxf>
              <fill>
                <patternFill>
                  <bgColor theme="8" tint="-0.499984740745262"/>
                </patternFill>
              </fill>
            </x14:dxf>
          </x14:cfRule>
          <x14:cfRule type="cellIs" priority="5444" operator="equal" id="{E714721E-14E4-4FBD-B178-58F901FAEEC6}">
            <xm:f>'Clash Matrix Legend'!$A$9</xm:f>
            <x14:dxf>
              <fill>
                <patternFill>
                  <bgColor theme="8" tint="0.79998168889431442"/>
                </patternFill>
              </fill>
            </x14:dxf>
          </x14:cfRule>
          <x14:cfRule type="cellIs" priority="5443" operator="equal" id="{AB976B2F-4D83-4B32-A7A3-23C3EBB1C27E}">
            <xm:f>'Clash Matrix Legend'!$A$10</xm:f>
            <x14:dxf>
              <fill>
                <patternFill>
                  <bgColor theme="8" tint="0.59996337778862885"/>
                </patternFill>
              </fill>
            </x14:dxf>
          </x14:cfRule>
          <x14:cfRule type="cellIs" priority="5442" operator="equal" id="{7BD2EF8D-C1B1-4252-937E-6964152B37A6}">
            <xm:f>'Clash Matrix Legend'!$A$11</xm:f>
            <x14:dxf>
              <fill>
                <patternFill>
                  <bgColor theme="8" tint="-0.24994659260841701"/>
                </patternFill>
              </fill>
            </x14:dxf>
          </x14:cfRule>
          <x14:cfRule type="cellIs" priority="5438" operator="equal" id="{FD8C1A31-0AEA-4779-BC53-C739057799F0}">
            <xm:f>'Clash Matrix Legend'!$A$12</xm:f>
            <x14:dxf>
              <fill>
                <patternFill>
                  <bgColor theme="8" tint="-0.499984740745262"/>
                </patternFill>
              </fill>
            </x14:dxf>
          </x14:cfRule>
          <x14:cfRule type="cellIs" priority="5435" operator="equal" id="{F51190C9-D7DD-40EF-BF44-C70C57E9A751}">
            <xm:f>'Clash Matrix Legend'!$A$9</xm:f>
            <x14:dxf>
              <fill>
                <patternFill>
                  <bgColor theme="8" tint="0.79998168889431442"/>
                </patternFill>
              </fill>
            </x14:dxf>
          </x14:cfRule>
          <x14:cfRule type="cellIs" priority="5434" operator="equal" id="{C950CED1-D488-4D1A-B755-11503E5133B5}">
            <xm:f>'Clash Matrix Legend'!$A$10</xm:f>
            <x14:dxf>
              <fill>
                <patternFill>
                  <bgColor theme="8" tint="0.59996337778862885"/>
                </patternFill>
              </fill>
            </x14:dxf>
          </x14:cfRule>
          <x14:cfRule type="cellIs" priority="5433" operator="equal" id="{EF82B7D6-9493-4CB7-B1A1-2501261B72A6}">
            <xm:f>'Clash Matrix Legend'!$A$11</xm:f>
            <x14:dxf>
              <fill>
                <patternFill>
                  <bgColor theme="8" tint="-0.24994659260841701"/>
                </patternFill>
              </fill>
            </x14:dxf>
          </x14:cfRule>
          <x14:cfRule type="cellIs" priority="5459" operator="equal" id="{87415AA7-8CED-4735-9194-E122B22CCAE0}">
            <xm:f>'Clash Matrix Legend'!$A$11</xm:f>
            <x14:dxf>
              <fill>
                <patternFill>
                  <bgColor theme="8" tint="-0.24994659260841701"/>
                </patternFill>
              </fill>
            </x14:dxf>
          </x14:cfRule>
          <x14:cfRule type="cellIs" priority="5470" operator="equal" id="{0E706B21-D671-42AB-B00B-DEE5A92D8C91}">
            <xm:f>'Clash Matrix Legend'!$A$9</xm:f>
            <x14:dxf>
              <fill>
                <patternFill>
                  <bgColor theme="8" tint="0.79998168889431442"/>
                </patternFill>
              </fill>
            </x14:dxf>
          </x14:cfRule>
          <x14:cfRule type="cellIs" priority="5469" operator="equal" id="{61340ECB-7E63-41C6-BD3A-9016DC405237}">
            <xm:f>'Clash Matrix Legend'!$A$10</xm:f>
            <x14:dxf>
              <fill>
                <patternFill>
                  <bgColor theme="8" tint="0.59996337778862885"/>
                </patternFill>
              </fill>
            </x14:dxf>
          </x14:cfRule>
          <x14:cfRule type="cellIs" priority="5468" operator="equal" id="{555CC3C2-FAC0-499A-A264-7BB969557939}">
            <xm:f>'Clash Matrix Legend'!$A$11</xm:f>
            <x14:dxf>
              <fill>
                <patternFill>
                  <bgColor theme="8" tint="-0.24994659260841701"/>
                </patternFill>
              </fill>
            </x14:dxf>
          </x14:cfRule>
          <x14:cfRule type="cellIs" priority="5464" operator="equal" id="{8833032B-5DC9-48AA-BF4C-85543B77A987}">
            <xm:f>'Clash Matrix Legend'!$A$12</xm:f>
            <x14:dxf>
              <fill>
                <patternFill>
                  <bgColor theme="8" tint="-0.499984740745262"/>
                </patternFill>
              </fill>
            </x14:dxf>
          </x14:cfRule>
          <x14:cfRule type="cellIs" priority="5461" operator="equal" id="{C91A01F0-72FD-495D-9D59-03589409DADB}">
            <xm:f>'Clash Matrix Legend'!$A$9</xm:f>
            <x14:dxf>
              <fill>
                <patternFill>
                  <bgColor theme="8" tint="0.79998168889431442"/>
                </patternFill>
              </fill>
            </x14:dxf>
          </x14:cfRule>
          <x14:cfRule type="cellIs" priority="5460" operator="equal" id="{AE38B38C-34FF-4CDA-9E5A-8AC59A36698F}">
            <xm:f>'Clash Matrix Legend'!$A$10</xm:f>
            <x14:dxf>
              <fill>
                <patternFill>
                  <bgColor theme="8" tint="0.59996337778862885"/>
                </patternFill>
              </fill>
            </x14:dxf>
          </x14:cfRule>
          <x14:cfRule type="cellIs" priority="7943" operator="equal" id="{0E706B21-D671-42AB-B00B-DEE5A92D8C91}">
            <xm:f>'Clash Matrix Legend'!#REF!</xm:f>
            <x14:dxf>
              <fill>
                <patternFill>
                  <bgColor theme="8" tint="0.79998168889431442"/>
                </patternFill>
              </fill>
            </x14:dxf>
          </x14:cfRule>
          <x14:cfRule type="cellIs" priority="7941" operator="equal" id="{555CC3C2-FAC0-499A-A264-7BB969557939}">
            <xm:f>'Clash Matrix Legend'!$A$10</xm:f>
            <x14:dxf>
              <fill>
                <patternFill>
                  <bgColor theme="8" tint="-0.24994659260841701"/>
                </patternFill>
              </fill>
            </x14:dxf>
          </x14:cfRule>
          <x14:cfRule type="cellIs" priority="7937" operator="equal" id="{8833032B-5DC9-48AA-BF4C-85543B77A987}">
            <xm:f>'Clash Matrix Legend'!$A$11</xm:f>
            <x14:dxf>
              <fill>
                <patternFill>
                  <bgColor theme="8" tint="-0.499984740745262"/>
                </patternFill>
              </fill>
            </x14:dxf>
          </x14:cfRule>
          <x14:cfRule type="cellIs" priority="7934" operator="equal" id="{C91A01F0-72FD-495D-9D59-03589409DADB}">
            <xm:f>'Clash Matrix Legend'!#REF!</xm:f>
            <x14:dxf>
              <fill>
                <patternFill>
                  <bgColor theme="8" tint="0.79998168889431442"/>
                </patternFill>
              </fill>
            </x14:dxf>
          </x14:cfRule>
          <x14:cfRule type="cellIs" priority="7933" operator="equal" id="{AE38B38C-34FF-4CDA-9E5A-8AC59A36698F}">
            <xm:f>'Clash Matrix Legend'!$A$9</xm:f>
            <x14:dxf>
              <fill>
                <patternFill>
                  <bgColor theme="8" tint="0.59996337778862885"/>
                </patternFill>
              </fill>
            </x14:dxf>
          </x14:cfRule>
          <x14:cfRule type="cellIs" priority="7932" operator="equal" id="{87415AA7-8CED-4735-9194-E122B22CCAE0}">
            <xm:f>'Clash Matrix Legend'!$A$10</xm:f>
            <x14:dxf>
              <fill>
                <patternFill>
                  <bgColor theme="8" tint="-0.24994659260841701"/>
                </patternFill>
              </fill>
            </x14:dxf>
          </x14:cfRule>
          <x14:cfRule type="cellIs" priority="7928" operator="equal" id="{39730C56-D067-4324-BC6E-2DB5D94BC3D2}">
            <xm:f>'Clash Matrix Legend'!$A$11</xm:f>
            <x14:dxf>
              <fill>
                <patternFill>
                  <bgColor theme="8" tint="-0.499984740745262"/>
                </patternFill>
              </fill>
            </x14:dxf>
          </x14:cfRule>
          <x14:cfRule type="cellIs" priority="7926" operator="equal" id="{315F0025-B22B-44F4-B94A-F84CBCF35077}">
            <xm:f>'Clash Matrix Legend'!#REF!</xm:f>
            <x14:dxf>
              <fill>
                <patternFill>
                  <bgColor theme="8" tint="0.79998168889431442"/>
                </patternFill>
              </fill>
            </x14:dxf>
          </x14:cfRule>
          <x14:cfRule type="cellIs" priority="7925" operator="equal" id="{DEA2324D-0955-4D81-AD99-244C8AAA874A}">
            <xm:f>'Clash Matrix Legend'!$A$9</xm:f>
            <x14:dxf>
              <fill>
                <patternFill>
                  <bgColor theme="8" tint="0.59996337778862885"/>
                </patternFill>
              </fill>
            </x14:dxf>
          </x14:cfRule>
          <x14:cfRule type="cellIs" priority="7924" operator="equal" id="{A91E1613-A734-4C89-B0F5-3666C1310FCA}">
            <xm:f>'Clash Matrix Legend'!$A$10</xm:f>
            <x14:dxf>
              <fill>
                <patternFill>
                  <bgColor theme="8" tint="-0.24994659260841701"/>
                </patternFill>
              </fill>
            </x14:dxf>
          </x14:cfRule>
          <x14:cfRule type="cellIs" priority="7920" operator="equal" id="{19B1AD0F-2EB1-484D-857E-44149F709B79}">
            <xm:f>'Clash Matrix Legend'!$A$11</xm:f>
            <x14:dxf>
              <fill>
                <patternFill>
                  <bgColor theme="8" tint="-0.499984740745262"/>
                </patternFill>
              </fill>
            </x14:dxf>
          </x14:cfRule>
          <x14:cfRule type="cellIs" priority="7917" operator="equal" id="{E714721E-14E4-4FBD-B178-58F901FAEEC6}">
            <xm:f>'Clash Matrix Legend'!#REF!</xm:f>
            <x14:dxf>
              <fill>
                <patternFill>
                  <bgColor theme="8" tint="0.79998168889431442"/>
                </patternFill>
              </fill>
            </x14:dxf>
          </x14:cfRule>
          <x14:cfRule type="cellIs" priority="7916" operator="equal" id="{AB976B2F-4D83-4B32-A7A3-23C3EBB1C27E}">
            <xm:f>'Clash Matrix Legend'!$A$9</xm:f>
            <x14:dxf>
              <fill>
                <patternFill>
                  <bgColor theme="8" tint="0.59996337778862885"/>
                </patternFill>
              </fill>
            </x14:dxf>
          </x14:cfRule>
          <x14:cfRule type="cellIs" priority="7915" operator="equal" id="{7BD2EF8D-C1B1-4252-937E-6964152B37A6}">
            <xm:f>'Clash Matrix Legend'!$A$10</xm:f>
            <x14:dxf>
              <fill>
                <patternFill>
                  <bgColor theme="8" tint="-0.24994659260841701"/>
                </patternFill>
              </fill>
            </x14:dxf>
          </x14:cfRule>
          <x14:cfRule type="cellIs" priority="7911" operator="equal" id="{FD8C1A31-0AEA-4779-BC53-C739057799F0}">
            <xm:f>'Clash Matrix Legend'!$A$11</xm:f>
            <x14:dxf>
              <fill>
                <patternFill>
                  <bgColor theme="8" tint="-0.499984740745262"/>
                </patternFill>
              </fill>
            </x14:dxf>
          </x14:cfRule>
          <x14:cfRule type="cellIs" priority="7908" operator="equal" id="{F51190C9-D7DD-40EF-BF44-C70C57E9A751}">
            <xm:f>'Clash Matrix Legend'!#REF!</xm:f>
            <x14:dxf>
              <fill>
                <patternFill>
                  <bgColor theme="8" tint="0.79998168889431442"/>
                </patternFill>
              </fill>
            </x14:dxf>
          </x14:cfRule>
          <x14:cfRule type="cellIs" priority="7907" operator="equal" id="{C950CED1-D488-4D1A-B755-11503E5133B5}">
            <xm:f>'Clash Matrix Legend'!$A$9</xm:f>
            <x14:dxf>
              <fill>
                <patternFill>
                  <bgColor theme="8" tint="0.59996337778862885"/>
                </patternFill>
              </fill>
            </x14:dxf>
          </x14:cfRule>
          <x14:cfRule type="cellIs" priority="7906" operator="equal" id="{EF82B7D6-9493-4CB7-B1A1-2501261B72A6}">
            <xm:f>'Clash Matrix Legend'!$A$10</xm:f>
            <x14:dxf>
              <fill>
                <patternFill>
                  <bgColor theme="8" tint="-0.24994659260841701"/>
                </patternFill>
              </fill>
            </x14:dxf>
          </x14:cfRule>
          <xm:sqref>AJ20 AJ22</xm:sqref>
        </x14:conditionalFormatting>
        <x14:conditionalFormatting xmlns:xm="http://schemas.microsoft.com/office/excel/2006/main">
          <x14:cfRule type="cellIs" priority="8006" operator="equal" id="{EE7AB16E-3837-4F2B-9610-82F6CA8D7210}">
            <xm:f>'Clash Matrix Legend'!#REF!</xm:f>
            <x14:dxf>
              <fill>
                <patternFill>
                  <bgColor theme="8" tint="0.79998168889431442"/>
                </patternFill>
              </fill>
            </x14:dxf>
          </x14:cfRule>
          <x14:cfRule type="cellIs" priority="8005" operator="equal" id="{3071688E-C16E-424C-B8A6-E853FF467675}">
            <xm:f>'Clash Matrix Legend'!$A$9</xm:f>
            <x14:dxf>
              <fill>
                <patternFill>
                  <bgColor theme="8" tint="0.59996337778862885"/>
                </patternFill>
              </fill>
            </x14:dxf>
          </x14:cfRule>
          <x14:cfRule type="cellIs" priority="8004" operator="equal" id="{619AB135-F6F0-41CE-96BA-B624F1884A29}">
            <xm:f>'Clash Matrix Legend'!$A$10</xm:f>
            <x14:dxf>
              <fill>
                <patternFill>
                  <bgColor theme="8" tint="-0.24994659260841701"/>
                </patternFill>
              </fill>
            </x14:dxf>
          </x14:cfRule>
          <x14:cfRule type="cellIs" priority="8000" operator="equal" id="{A85B5371-5050-42C3-ABF0-07A688782D23}">
            <xm:f>'Clash Matrix Legend'!$A$11</xm:f>
            <x14:dxf>
              <fill>
                <patternFill>
                  <bgColor theme="8" tint="-0.499984740745262"/>
                </patternFill>
              </fill>
            </x14:dxf>
          </x14:cfRule>
          <x14:cfRule type="cellIs" priority="7995" operator="equal" id="{81C03C6F-4E3C-454C-8156-EB5B27CDCBF0}">
            <xm:f>'Clash Matrix Legend'!#REF!</xm:f>
            <x14:dxf>
              <fill>
                <patternFill>
                  <bgColor theme="8" tint="0.79998168889431442"/>
                </patternFill>
              </fill>
            </x14:dxf>
          </x14:cfRule>
          <x14:cfRule type="cellIs" priority="7994" operator="equal" id="{F31BFA8F-AA3C-47EC-A2FB-D13960E3FFA8}">
            <xm:f>'Clash Matrix Legend'!$A$9</xm:f>
            <x14:dxf>
              <fill>
                <patternFill>
                  <bgColor theme="8" tint="0.59996337778862885"/>
                </patternFill>
              </fill>
            </x14:dxf>
          </x14:cfRule>
          <x14:cfRule type="cellIs" priority="7993" operator="equal" id="{7D382D66-5BCA-4EAB-A6CD-F89B6E243A29}">
            <xm:f>'Clash Matrix Legend'!$A$10</xm:f>
            <x14:dxf>
              <fill>
                <patternFill>
                  <bgColor theme="8" tint="-0.24994659260841701"/>
                </patternFill>
              </fill>
            </x14:dxf>
          </x14:cfRule>
          <x14:cfRule type="cellIs" priority="7989" operator="equal" id="{6F44D92D-ADFF-481F-ABAB-3B21180A442D}">
            <xm:f>'Clash Matrix Legend'!$A$11</xm:f>
            <x14:dxf>
              <fill>
                <patternFill>
                  <bgColor theme="8" tint="-0.499984740745262"/>
                </patternFill>
              </fill>
            </x14:dxf>
          </x14:cfRule>
          <xm:sqref>AJ66:AJ67</xm:sqref>
        </x14:conditionalFormatting>
        <x14:conditionalFormatting xmlns:xm="http://schemas.microsoft.com/office/excel/2006/main">
          <x14:cfRule type="cellIs" priority="8031" operator="equal" id="{3DEB2A90-7536-478A-8293-8E67005D1E06}">
            <xm:f>'Clash Matrix Legend'!$A$11</xm:f>
            <x14:dxf>
              <fill>
                <patternFill>
                  <bgColor theme="8" tint="-0.499984740745262"/>
                </patternFill>
              </fill>
            </x14:dxf>
          </x14:cfRule>
          <x14:cfRule type="cellIs" priority="8048" operator="equal" id="{03404A40-AD79-46F7-A8C7-B4654656EF1B}">
            <xm:f>'Clash Matrix Legend'!#REF!</xm:f>
            <x14:dxf>
              <fill>
                <patternFill>
                  <bgColor theme="8" tint="0.79998168889431442"/>
                </patternFill>
              </fill>
            </x14:dxf>
          </x14:cfRule>
          <x14:cfRule type="cellIs" priority="8047" operator="equal" id="{F449A145-8B51-45DB-BCB9-98D3BED1EC4A}">
            <xm:f>'Clash Matrix Legend'!$A$9</xm:f>
            <x14:dxf>
              <fill>
                <patternFill>
                  <bgColor theme="8" tint="0.59996337778862885"/>
                </patternFill>
              </fill>
            </x14:dxf>
          </x14:cfRule>
          <x14:cfRule type="cellIs" priority="8046" operator="equal" id="{52CB209A-1E44-4C11-A356-2DA4EEF744F0}">
            <xm:f>'Clash Matrix Legend'!$A$10</xm:f>
            <x14:dxf>
              <fill>
                <patternFill>
                  <bgColor theme="8" tint="-0.24994659260841701"/>
                </patternFill>
              </fill>
            </x14:dxf>
          </x14:cfRule>
          <x14:cfRule type="cellIs" priority="8042" operator="equal" id="{18C03DFF-2EDC-4ED9-87D8-F83CE0FF0775}">
            <xm:f>'Clash Matrix Legend'!$A$11</xm:f>
            <x14:dxf>
              <fill>
                <patternFill>
                  <bgColor theme="8" tint="-0.499984740745262"/>
                </patternFill>
              </fill>
            </x14:dxf>
          </x14:cfRule>
          <x14:cfRule type="cellIs" priority="8037" operator="equal" id="{2E69F0B0-7DA6-4008-A66D-658492840D0D}">
            <xm:f>'Clash Matrix Legend'!#REF!</xm:f>
            <x14:dxf>
              <fill>
                <patternFill>
                  <bgColor theme="8" tint="0.79998168889431442"/>
                </patternFill>
              </fill>
            </x14:dxf>
          </x14:cfRule>
          <x14:cfRule type="cellIs" priority="8036" operator="equal" id="{73E35C6B-7300-4252-B417-DBCA91C06B93}">
            <xm:f>'Clash Matrix Legend'!$A$9</xm:f>
            <x14:dxf>
              <fill>
                <patternFill>
                  <bgColor theme="8" tint="0.59996337778862885"/>
                </patternFill>
              </fill>
            </x14:dxf>
          </x14:cfRule>
          <x14:cfRule type="cellIs" priority="8035" operator="equal" id="{C22E99A0-C04C-4BE0-BA0F-C237256B8A58}">
            <xm:f>'Clash Matrix Legend'!$A$10</xm:f>
            <x14:dxf>
              <fill>
                <patternFill>
                  <bgColor theme="8" tint="-0.24994659260841701"/>
                </patternFill>
              </fill>
            </x14:dxf>
          </x14:cfRule>
          <xm:sqref>AJ68:AJ69</xm:sqref>
        </x14:conditionalFormatting>
        <x14:conditionalFormatting xmlns:xm="http://schemas.microsoft.com/office/excel/2006/main">
          <x14:cfRule type="cellIs" priority="539" operator="equal" id="{1B6A9C49-016A-4682-A477-D29637652623}">
            <xm:f>'Clash Matrix Legend'!$A$11</xm:f>
            <x14:dxf>
              <fill>
                <patternFill>
                  <bgColor theme="8" tint="-0.499984740745262"/>
                </patternFill>
              </fill>
            </x14:dxf>
          </x14:cfRule>
          <x14:cfRule type="cellIs" priority="543" operator="equal" id="{DB67506B-6BBD-41DC-A91C-8EA8D22D580D}">
            <xm:f>'Clash Matrix Legend'!$A$10</xm:f>
            <x14:dxf>
              <fill>
                <patternFill>
                  <bgColor theme="8" tint="-0.24994659260841701"/>
                </patternFill>
              </fill>
            </x14:dxf>
          </x14:cfRule>
          <x14:cfRule type="cellIs" priority="544" operator="equal" id="{9F94DAE3-EA36-4B0C-949E-776A70DFD80D}">
            <xm:f>'Clash Matrix Legend'!$A$9</xm:f>
            <x14:dxf>
              <fill>
                <patternFill>
                  <bgColor theme="8" tint="0.59996337778862885"/>
                </patternFill>
              </fill>
            </x14:dxf>
          </x14:cfRule>
          <x14:cfRule type="cellIs" priority="545" operator="equal" id="{CA24F279-F401-494E-927F-F8CEB0D62D2B}">
            <xm:f>'Clash Matrix Legend'!#REF!</xm:f>
            <x14:dxf>
              <fill>
                <patternFill>
                  <bgColor theme="8" tint="0.79998168889431442"/>
                </patternFill>
              </fill>
            </x14:dxf>
          </x14:cfRule>
          <x14:cfRule type="cellIs" priority="548" operator="equal" id="{E4D87DEF-8F2E-4830-A875-291692E04B36}">
            <xm:f>'Clash Matrix Legend'!$A$11</xm:f>
            <x14:dxf>
              <fill>
                <patternFill>
                  <bgColor theme="8" tint="-0.499984740745262"/>
                </patternFill>
              </fill>
            </x14:dxf>
          </x14:cfRule>
          <x14:cfRule type="cellIs" priority="552" operator="equal" id="{318500FB-F30C-4F66-9D5F-8967C19B0282}">
            <xm:f>'Clash Matrix Legend'!$A$10</xm:f>
            <x14:dxf>
              <fill>
                <patternFill>
                  <bgColor theme="8" tint="-0.24994659260841701"/>
                </patternFill>
              </fill>
            </x14:dxf>
          </x14:cfRule>
          <x14:cfRule type="cellIs" priority="553" operator="equal" id="{11B225C5-7001-445F-9700-529D1060FD14}">
            <xm:f>'Clash Matrix Legend'!$A$9</xm:f>
            <x14:dxf>
              <fill>
                <patternFill>
                  <bgColor theme="8" tint="0.59996337778862885"/>
                </patternFill>
              </fill>
            </x14:dxf>
          </x14:cfRule>
          <x14:cfRule type="cellIs" priority="554" operator="equal" id="{C1E5A6F9-B996-4EF8-BCB4-2B00D375A289}">
            <xm:f>'Clash Matrix Legend'!#REF!</xm:f>
            <x14:dxf>
              <fill>
                <patternFill>
                  <bgColor theme="8" tint="0.79998168889431442"/>
                </patternFill>
              </fill>
            </x14:dxf>
          </x14:cfRule>
          <xm:sqref>AJ68:AM68</xm:sqref>
        </x14:conditionalFormatting>
        <x14:conditionalFormatting xmlns:xm="http://schemas.microsoft.com/office/excel/2006/main">
          <x14:cfRule type="cellIs" priority="8556" operator="equal" id="{725B6815-E3E6-4EBB-B7D9-AB64E3B18F73}">
            <xm:f>'Clash Matrix Legend'!$A$11</xm:f>
            <x14:dxf>
              <fill>
                <patternFill>
                  <bgColor theme="8" tint="-0.499984740745262"/>
                </patternFill>
              </fill>
            </x14:dxf>
          </x14:cfRule>
          <xm:sqref>AJ69:AM69 AI67:AM67</xm:sqref>
        </x14:conditionalFormatting>
        <x14:conditionalFormatting xmlns:xm="http://schemas.microsoft.com/office/excel/2006/main">
          <x14:cfRule type="cellIs" priority="8080" operator="equal" id="{1BAE2CE9-92BE-4287-8566-2D5CEA91F90A}">
            <xm:f>'Clash Matrix Legend'!#REF!</xm:f>
            <x14:dxf>
              <fill>
                <patternFill>
                  <bgColor theme="8" tint="0.79998168889431442"/>
                </patternFill>
              </fill>
            </x14:dxf>
          </x14:cfRule>
          <x14:cfRule type="cellIs" priority="8079" operator="equal" id="{E1D326F0-8552-4E7E-9A54-CEDEEBAB4237}">
            <xm:f>'Clash Matrix Legend'!$A$9</xm:f>
            <x14:dxf>
              <fill>
                <patternFill>
                  <bgColor theme="8" tint="0.59996337778862885"/>
                </patternFill>
              </fill>
            </x14:dxf>
          </x14:cfRule>
          <x14:cfRule type="cellIs" priority="8078" operator="equal" id="{D2E2D3A2-E249-409E-80A2-296BCEE2E700}">
            <xm:f>'Clash Matrix Legend'!$A$10</xm:f>
            <x14:dxf>
              <fill>
                <patternFill>
                  <bgColor theme="8" tint="-0.24994659260841701"/>
                </patternFill>
              </fill>
            </x14:dxf>
          </x14:cfRule>
          <x14:cfRule type="cellIs" priority="8075" operator="equal" id="{D4B0D8E6-66C4-41EA-BCA4-52E6B64B8152}">
            <xm:f>'Clash Matrix Legend'!$A$11</xm:f>
            <x14:dxf>
              <fill>
                <patternFill>
                  <bgColor theme="8" tint="-0.499984740745262"/>
                </patternFill>
              </fill>
            </x14:dxf>
          </x14:cfRule>
          <x14:cfRule type="cellIs" priority="8074" operator="equal" id="{528A7293-2942-4D11-8B8D-92AE0C0195FF}">
            <xm:f>'Clash Matrix Legend'!#REF!</xm:f>
            <x14:dxf>
              <fill>
                <patternFill>
                  <bgColor theme="8" tint="0.79998168889431442"/>
                </patternFill>
              </fill>
            </x14:dxf>
          </x14:cfRule>
          <x14:cfRule type="cellIs" priority="8073" operator="equal" id="{13AA511E-5FF2-49DB-B15D-496194445C1B}">
            <xm:f>'Clash Matrix Legend'!$A$9</xm:f>
            <x14:dxf>
              <fill>
                <patternFill>
                  <bgColor theme="8" tint="0.59996337778862885"/>
                </patternFill>
              </fill>
            </x14:dxf>
          </x14:cfRule>
          <x14:cfRule type="cellIs" priority="8072" operator="equal" id="{81FB0217-E053-4EC5-9315-CBE2D4F11DE1}">
            <xm:f>'Clash Matrix Legend'!$A$10</xm:f>
            <x14:dxf>
              <fill>
                <patternFill>
                  <bgColor theme="8" tint="-0.24994659260841701"/>
                </patternFill>
              </fill>
            </x14:dxf>
          </x14:cfRule>
          <xm:sqref>AJ69:AM69 AK71:AM71</xm:sqref>
        </x14:conditionalFormatting>
        <x14:conditionalFormatting xmlns:xm="http://schemas.microsoft.com/office/excel/2006/main">
          <x14:cfRule type="cellIs" priority="8081" operator="equal" id="{1248A52E-4A07-4C99-B94E-0348EF013CF0}">
            <xm:f>'Clash Matrix Legend'!$A$11</xm:f>
            <x14:dxf>
              <fill>
                <patternFill>
                  <bgColor theme="8" tint="-0.499984740745262"/>
                </patternFill>
              </fill>
            </x14:dxf>
          </x14:cfRule>
          <x14:cfRule type="cellIs" priority="8087" operator="equal" id="{80A29991-F311-4B48-8431-459AE1C25AE1}">
            <xm:f>'Clash Matrix Legend'!#REF!</xm:f>
            <x14:dxf>
              <fill>
                <patternFill>
                  <bgColor theme="8" tint="0.79998168889431442"/>
                </patternFill>
              </fill>
            </x14:dxf>
          </x14:cfRule>
          <x14:cfRule type="cellIs" priority="8086" operator="equal" id="{C3BADFEE-A5F4-4165-93F1-0671B80D817D}">
            <xm:f>'Clash Matrix Legend'!$A$9</xm:f>
            <x14:dxf>
              <fill>
                <patternFill>
                  <bgColor theme="8" tint="0.59996337778862885"/>
                </patternFill>
              </fill>
            </x14:dxf>
          </x14:cfRule>
          <x14:cfRule type="cellIs" priority="8085" operator="equal" id="{D4E87794-7345-498F-83E0-3009A4948597}">
            <xm:f>'Clash Matrix Legend'!$A$10</xm:f>
            <x14:dxf>
              <fill>
                <patternFill>
                  <bgColor theme="8" tint="-0.24994659260841701"/>
                </patternFill>
              </fill>
            </x14:dxf>
          </x14:cfRule>
          <xm:sqref>AJ69:AM69 AM69:AM75 AK71:AM71 AL73:AM73</xm:sqref>
        </x14:conditionalFormatting>
        <x14:conditionalFormatting xmlns:xm="http://schemas.microsoft.com/office/excel/2006/main">
          <x14:cfRule type="cellIs" priority="8069" operator="equal" id="{0223A13B-0C4A-487C-A63A-9A319DAB574B}">
            <xm:f>'Clash Matrix Legend'!$A$11</xm:f>
            <x14:dxf>
              <fill>
                <patternFill>
                  <bgColor theme="8" tint="-0.499984740745262"/>
                </patternFill>
              </fill>
            </x14:dxf>
          </x14:cfRule>
          <x14:cfRule type="cellIs" priority="3103" operator="equal" id="{0A62086D-593F-4DA8-98A0-A790FD37712B}">
            <xm:f>'Clash Matrix Legend'!$A$11</xm:f>
            <x14:dxf>
              <fill>
                <patternFill>
                  <bgColor theme="8" tint="-0.499984740745262"/>
                </patternFill>
              </fill>
            </x14:dxf>
          </x14:cfRule>
          <x14:cfRule type="cellIs" priority="3106" operator="equal" id="{B64720B5-7D92-4961-A7E2-E67FA23D1FA2}">
            <xm:f>'Clash Matrix Legend'!$A$10</xm:f>
            <x14:dxf>
              <fill>
                <patternFill>
                  <bgColor theme="8" tint="-0.24994659260841701"/>
                </patternFill>
              </fill>
            </x14:dxf>
          </x14:cfRule>
          <x14:cfRule type="cellIs" priority="3107" operator="equal" id="{405C5601-7576-4177-B145-BC2A7EA6F066}">
            <xm:f>'Clash Matrix Legend'!$A$9</xm:f>
            <x14:dxf>
              <fill>
                <patternFill>
                  <bgColor theme="8" tint="0.59996337778862885"/>
                </patternFill>
              </fill>
            </x14:dxf>
          </x14:cfRule>
          <x14:cfRule type="cellIs" priority="3108" operator="equal" id="{61BB10CC-7862-4A60-98D0-EA475571ECDE}">
            <xm:f>'Clash Matrix Legend'!#REF!</xm:f>
            <x14:dxf>
              <fill>
                <patternFill>
                  <bgColor theme="8" tint="0.79998168889431442"/>
                </patternFill>
              </fill>
            </x14:dxf>
          </x14:cfRule>
          <x14:cfRule type="cellIs" priority="3111" operator="equal" id="{94504FDF-AE93-4A2E-AC76-3C755C8F021C}">
            <xm:f>'Clash Matrix Legend'!$A$11</xm:f>
            <x14:dxf>
              <fill>
                <patternFill>
                  <bgColor theme="8" tint="-0.499984740745262"/>
                </patternFill>
              </fill>
            </x14:dxf>
          </x14:cfRule>
          <x14:cfRule type="cellIs" priority="3115" operator="equal" id="{06902F70-0EE5-45FA-A996-29332C3B6D89}">
            <xm:f>'Clash Matrix Legend'!$A$11</xm:f>
            <x14:dxf>
              <fill>
                <patternFill>
                  <bgColor theme="8" tint="-0.499984740745262"/>
                </patternFill>
              </fill>
            </x14:dxf>
          </x14:cfRule>
          <x14:cfRule type="cellIs" priority="3119" operator="equal" id="{7D660B94-160C-4AE4-8EBD-E177AEB3764A}">
            <xm:f>'Clash Matrix Legend'!$A$10</xm:f>
            <x14:dxf>
              <fill>
                <patternFill>
                  <bgColor theme="8" tint="-0.24994659260841701"/>
                </patternFill>
              </fill>
            </x14:dxf>
          </x14:cfRule>
          <x14:cfRule type="cellIs" priority="3120" operator="equal" id="{91719D74-9889-45C1-A5E0-F463860A0E12}">
            <xm:f>'Clash Matrix Legend'!$A$9</xm:f>
            <x14:dxf>
              <fill>
                <patternFill>
                  <bgColor theme="8" tint="0.59996337778862885"/>
                </patternFill>
              </fill>
            </x14:dxf>
          </x14:cfRule>
          <x14:cfRule type="cellIs" priority="3121" operator="equal" id="{2E72F52E-5B35-420B-8132-89E890EABE05}">
            <xm:f>'Clash Matrix Legend'!#REF!</xm:f>
            <x14:dxf>
              <fill>
                <patternFill>
                  <bgColor theme="8" tint="0.79998168889431442"/>
                </patternFill>
              </fill>
            </x14:dxf>
          </x14:cfRule>
          <x14:cfRule type="cellIs" priority="3124" operator="equal" id="{5729BEBD-16AA-4476-BEBB-E8DD21F57CCE}">
            <xm:f>'Clash Matrix Legend'!$A$10</xm:f>
            <x14:dxf>
              <fill>
                <patternFill>
                  <bgColor theme="8" tint="-0.24994659260841701"/>
                </patternFill>
              </fill>
            </x14:dxf>
          </x14:cfRule>
          <x14:cfRule type="cellIs" priority="3125" operator="equal" id="{05BF7B2B-12D1-46BC-AF86-1A530D39F2A7}">
            <xm:f>'Clash Matrix Legend'!$A$9</xm:f>
            <x14:dxf>
              <fill>
                <patternFill>
                  <bgColor theme="8" tint="0.59996337778862885"/>
                </patternFill>
              </fill>
            </x14:dxf>
          </x14:cfRule>
          <x14:cfRule type="cellIs" priority="3126" operator="equal" id="{00882D2B-F957-4624-B76C-2045B236D0CD}">
            <xm:f>'Clash Matrix Legend'!#REF!</xm:f>
            <x14:dxf>
              <fill>
                <patternFill>
                  <bgColor theme="8" tint="0.79998168889431442"/>
                </patternFill>
              </fill>
            </x14:dxf>
          </x14:cfRule>
          <x14:cfRule type="cellIs" priority="1780" operator="equal" id="{138E088E-1C48-4898-BE79-7277B3FFAC8E}">
            <xm:f>'Clash Matrix Legend'!#REF!</xm:f>
            <x14:dxf>
              <fill>
                <patternFill>
                  <bgColor theme="8" tint="0.79998168889431442"/>
                </patternFill>
              </fill>
            </x14:dxf>
          </x14:cfRule>
          <x14:cfRule type="cellIs" priority="1779" operator="equal" id="{69319884-55B2-4A25-9D8E-88A50D251102}">
            <xm:f>'Clash Matrix Legend'!$A$9</xm:f>
            <x14:dxf>
              <fill>
                <patternFill>
                  <bgColor theme="8" tint="0.59996337778862885"/>
                </patternFill>
              </fill>
            </x14:dxf>
          </x14:cfRule>
          <x14:cfRule type="cellIs" priority="1778" operator="equal" id="{322FE667-BC78-416B-BB9D-29DC3ED021C1}">
            <xm:f>'Clash Matrix Legend'!$A$10</xm:f>
            <x14:dxf>
              <fill>
                <patternFill>
                  <bgColor theme="8" tint="-0.24994659260841701"/>
                </patternFill>
              </fill>
            </x14:dxf>
          </x14:cfRule>
          <x14:cfRule type="cellIs" priority="1774" operator="equal" id="{02642239-05C9-45FA-BA2A-B7EA6F2CFE37}">
            <xm:f>'Clash Matrix Legend'!$A$11</xm:f>
            <x14:dxf>
              <fill>
                <patternFill>
                  <bgColor theme="8" tint="-0.499984740745262"/>
                </patternFill>
              </fill>
            </x14:dxf>
          </x14:cfRule>
          <x14:cfRule type="cellIs" priority="1771" operator="equal" id="{4D0BD145-8931-4B00-907F-60EADB660722}">
            <xm:f>'Clash Matrix Legend'!#REF!</xm:f>
            <x14:dxf>
              <fill>
                <patternFill>
                  <bgColor theme="8" tint="0.79998168889431442"/>
                </patternFill>
              </fill>
            </x14:dxf>
          </x14:cfRule>
          <x14:cfRule type="cellIs" priority="1770" operator="equal" id="{0132156F-DF8E-4C80-A810-87AEA009783F}">
            <xm:f>'Clash Matrix Legend'!$A$9</xm:f>
            <x14:dxf>
              <fill>
                <patternFill>
                  <bgColor theme="8" tint="0.59996337778862885"/>
                </patternFill>
              </fill>
            </x14:dxf>
          </x14:cfRule>
          <x14:cfRule type="cellIs" priority="1769" operator="equal" id="{C72DE0E4-AC94-47DB-A9B5-359C861EC7F5}">
            <xm:f>'Clash Matrix Legend'!$A$10</xm:f>
            <x14:dxf>
              <fill>
                <patternFill>
                  <bgColor theme="8" tint="-0.24994659260841701"/>
                </patternFill>
              </fill>
            </x14:dxf>
          </x14:cfRule>
          <x14:cfRule type="cellIs" priority="1765" operator="equal" id="{202B205B-95A7-4332-86C0-A0AD3D733C1B}">
            <xm:f>'Clash Matrix Legend'!$A$11</xm:f>
            <x14:dxf>
              <fill>
                <patternFill>
                  <bgColor theme="8" tint="-0.499984740745262"/>
                </patternFill>
              </fill>
            </x14:dxf>
          </x14:cfRule>
          <xm:sqref>AJ69:AM69</xm:sqref>
        </x14:conditionalFormatting>
        <x14:conditionalFormatting xmlns:xm="http://schemas.microsoft.com/office/excel/2006/main">
          <x14:cfRule type="cellIs" priority="2581" operator="equal" id="{F265ECA0-2AEA-42A2-B5DE-300F7676982F}">
            <xm:f>'Clash Matrix Legend'!$A$10</xm:f>
            <x14:dxf>
              <fill>
                <patternFill>
                  <bgColor theme="8" tint="-0.24994659260841701"/>
                </patternFill>
              </fill>
            </x14:dxf>
          </x14:cfRule>
          <x14:cfRule type="cellIs" priority="2582" operator="equal" id="{A9D7D03D-D295-4A42-A48A-2C2473B88A4A}">
            <xm:f>'Clash Matrix Legend'!$A$9</xm:f>
            <x14:dxf>
              <fill>
                <patternFill>
                  <bgColor theme="8" tint="0.59996337778862885"/>
                </patternFill>
              </fill>
            </x14:dxf>
          </x14:cfRule>
          <x14:cfRule type="cellIs" priority="2583" operator="equal" id="{7DF5EBFB-4F00-402D-8DD7-BC2CF91C4F8A}">
            <xm:f>'Clash Matrix Legend'!#REF!</xm:f>
            <x14:dxf>
              <fill>
                <patternFill>
                  <bgColor theme="8" tint="0.79998168889431442"/>
                </patternFill>
              </fill>
            </x14:dxf>
          </x14:cfRule>
          <x14:cfRule type="cellIs" priority="2586" operator="equal" id="{24C8A509-5D89-436D-A657-8A046839D9C0}">
            <xm:f>'Clash Matrix Legend'!$A$11</xm:f>
            <x14:dxf>
              <fill>
                <patternFill>
                  <bgColor theme="8" tint="-0.499984740745262"/>
                </patternFill>
              </fill>
            </x14:dxf>
          </x14:cfRule>
          <x14:cfRule type="cellIs" priority="2590" operator="equal" id="{7C859584-1701-43FA-B673-24591DC102B8}">
            <xm:f>'Clash Matrix Legend'!$A$10</xm:f>
            <x14:dxf>
              <fill>
                <patternFill>
                  <bgColor theme="8" tint="-0.24994659260841701"/>
                </patternFill>
              </fill>
            </x14:dxf>
          </x14:cfRule>
          <x14:cfRule type="cellIs" priority="2591" operator="equal" id="{8D695458-143D-4FEA-9474-217D103ECC57}">
            <xm:f>'Clash Matrix Legend'!$A$9</xm:f>
            <x14:dxf>
              <fill>
                <patternFill>
                  <bgColor theme="8" tint="0.59996337778862885"/>
                </patternFill>
              </fill>
            </x14:dxf>
          </x14:cfRule>
          <x14:cfRule type="cellIs" priority="2592" operator="equal" id="{91E76AC5-02A8-4074-B7D4-DDA239BDD0E3}">
            <xm:f>'Clash Matrix Legend'!#REF!</xm:f>
            <x14:dxf>
              <fill>
                <patternFill>
                  <bgColor theme="8" tint="0.79998168889431442"/>
                </patternFill>
              </fill>
            </x14:dxf>
          </x14:cfRule>
          <x14:cfRule type="cellIs" priority="2577" operator="equal" id="{A4336ECC-6E84-4D39-919F-0432A0C68141}">
            <xm:f>'Clash Matrix Legend'!$A$11</xm:f>
            <x14:dxf>
              <fill>
                <patternFill>
                  <bgColor theme="8" tint="-0.499984740745262"/>
                </patternFill>
              </fill>
            </x14:dxf>
          </x14:cfRule>
          <x14:cfRule type="cellIs" priority="2573" operator="equal" id="{83A54D9D-8C40-4615-B6AE-02759EE24479}">
            <xm:f>'Clash Matrix Legend'!$A$10</xm:f>
            <x14:dxf>
              <fill>
                <patternFill>
                  <bgColor theme="8" tint="-0.24994659260841701"/>
                </patternFill>
              </fill>
            </x14:dxf>
          </x14:cfRule>
          <x14:cfRule type="cellIs" priority="2574" operator="equal" id="{F032A1C6-804B-490B-B150-AA69C3C3D0F0}">
            <xm:f>'Clash Matrix Legend'!$A$9</xm:f>
            <x14:dxf>
              <fill>
                <patternFill>
                  <bgColor theme="8" tint="0.59996337778862885"/>
                </patternFill>
              </fill>
            </x14:dxf>
          </x14:cfRule>
          <x14:cfRule type="cellIs" priority="2575" operator="equal" id="{2818A545-452E-4CF8-872A-D7C70957C2E7}">
            <xm:f>'Clash Matrix Legend'!#REF!</xm:f>
            <x14:dxf>
              <fill>
                <patternFill>
                  <bgColor theme="8" tint="0.79998168889431442"/>
                </patternFill>
              </fill>
            </x14:dxf>
          </x14:cfRule>
          <xm:sqref>AK4</xm:sqref>
        </x14:conditionalFormatting>
        <x14:conditionalFormatting xmlns:xm="http://schemas.microsoft.com/office/excel/2006/main">
          <x14:cfRule type="cellIs" priority="2607" operator="equal" id="{D68EB84A-5581-4716-AD49-518E996728A1}">
            <xm:f>'Clash Matrix Legend'!$A$10</xm:f>
            <x14:dxf>
              <fill>
                <patternFill>
                  <bgColor theme="8" tint="-0.24994659260841701"/>
                </patternFill>
              </fill>
            </x14:dxf>
          </x14:cfRule>
          <x14:cfRule type="cellIs" priority="2608" operator="equal" id="{CD2D0DF9-15BC-4E2C-9541-24DC8D018FA8}">
            <xm:f>'Clash Matrix Legend'!$A$9</xm:f>
            <x14:dxf>
              <fill>
                <patternFill>
                  <bgColor theme="8" tint="0.59996337778862885"/>
                </patternFill>
              </fill>
            </x14:dxf>
          </x14:cfRule>
          <x14:cfRule type="cellIs" priority="2609" operator="equal" id="{B8A54393-A701-4E0C-86A7-7D2028BB16CE}">
            <xm:f>'Clash Matrix Legend'!#REF!</xm:f>
            <x14:dxf>
              <fill>
                <patternFill>
                  <bgColor theme="8" tint="0.79998168889431442"/>
                </patternFill>
              </fill>
            </x14:dxf>
          </x14:cfRule>
          <x14:cfRule type="cellIs" priority="2612" operator="equal" id="{4C786810-CE5E-40D0-A55F-1E5201FD7E5D}">
            <xm:f>'Clash Matrix Legend'!$A$11</xm:f>
            <x14:dxf>
              <fill>
                <patternFill>
                  <bgColor theme="8" tint="-0.499984740745262"/>
                </patternFill>
              </fill>
            </x14:dxf>
          </x14:cfRule>
          <x14:cfRule type="cellIs" priority="2603" operator="equal" id="{36067C9A-8942-4784-B3BA-EAFE51D85A06}">
            <xm:f>'Clash Matrix Legend'!$A$11</xm:f>
            <x14:dxf>
              <fill>
                <patternFill>
                  <bgColor theme="8" tint="-0.499984740745262"/>
                </patternFill>
              </fill>
            </x14:dxf>
          </x14:cfRule>
          <x14:cfRule type="cellIs" priority="2616" operator="equal" id="{FC064C0D-0408-4C6A-BB64-B046CE40F2F2}">
            <xm:f>'Clash Matrix Legend'!$A$10</xm:f>
            <x14:dxf>
              <fill>
                <patternFill>
                  <bgColor theme="8" tint="-0.24994659260841701"/>
                </patternFill>
              </fill>
            </x14:dxf>
          </x14:cfRule>
          <x14:cfRule type="cellIs" priority="2617" operator="equal" id="{37A94058-44A3-4A99-B1C7-1D8F68DA7F65}">
            <xm:f>'Clash Matrix Legend'!$A$9</xm:f>
            <x14:dxf>
              <fill>
                <patternFill>
                  <bgColor theme="8" tint="0.59996337778862885"/>
                </patternFill>
              </fill>
            </x14:dxf>
          </x14:cfRule>
          <x14:cfRule type="cellIs" priority="2618" operator="equal" id="{762DBB56-B455-4ACB-9D58-3A1AB330A2CB}">
            <xm:f>'Clash Matrix Legend'!#REF!</xm:f>
            <x14:dxf>
              <fill>
                <patternFill>
                  <bgColor theme="8" tint="0.79998168889431442"/>
                </patternFill>
              </fill>
            </x14:dxf>
          </x14:cfRule>
          <x14:cfRule type="cellIs" priority="2595" operator="equal" id="{FC694DEE-1ADD-4EFB-A634-1C0293A6FC7E}">
            <xm:f>'Clash Matrix Legend'!$A$11</xm:f>
            <x14:dxf>
              <fill>
                <patternFill>
                  <bgColor theme="8" tint="-0.499984740745262"/>
                </patternFill>
              </fill>
            </x14:dxf>
          </x14:cfRule>
          <x14:cfRule type="cellIs" priority="2565" operator="equal" id="{CC8993C2-E885-4EB9-8BD8-F12CD97FE7A6}">
            <xm:f>'Clash Matrix Legend'!$A$11</xm:f>
            <x14:dxf>
              <fill>
                <patternFill>
                  <bgColor theme="8" tint="-0.499984740745262"/>
                </patternFill>
              </fill>
            </x14:dxf>
          </x14:cfRule>
          <x14:cfRule type="cellIs" priority="2599" operator="equal" id="{BB11BED9-E74E-4307-963A-89F3DF88BA5F}">
            <xm:f>'Clash Matrix Legend'!$A$10</xm:f>
            <x14:dxf>
              <fill>
                <patternFill>
                  <bgColor theme="8" tint="-0.24994659260841701"/>
                </patternFill>
              </fill>
            </x14:dxf>
          </x14:cfRule>
          <x14:cfRule type="cellIs" priority="2600" operator="equal" id="{2B2AADCF-BBDF-4A9A-9E83-15AAB82BD442}">
            <xm:f>'Clash Matrix Legend'!$A$9</xm:f>
            <x14:dxf>
              <fill>
                <patternFill>
                  <bgColor theme="8" tint="0.59996337778862885"/>
                </patternFill>
              </fill>
            </x14:dxf>
          </x14:cfRule>
          <x14:cfRule type="cellIs" priority="2601" operator="equal" id="{73B659B5-3EEF-41A0-84F1-6BC5E9EBC1A9}">
            <xm:f>'Clash Matrix Legend'!#REF!</xm:f>
            <x14:dxf>
              <fill>
                <patternFill>
                  <bgColor theme="8" tint="0.79998168889431442"/>
                </patternFill>
              </fill>
            </x14:dxf>
          </x14:cfRule>
          <xm:sqref>AK4:AK5</xm:sqref>
        </x14:conditionalFormatting>
        <x14:conditionalFormatting xmlns:xm="http://schemas.microsoft.com/office/excel/2006/main">
          <x14:cfRule type="cellIs" priority="2568" operator="equal" id="{32778FAA-E970-4D55-A362-6605FC26F396}">
            <xm:f>'Clash Matrix Legend'!$A$10</xm:f>
            <x14:dxf>
              <fill>
                <patternFill>
                  <bgColor theme="8" tint="-0.24994659260841701"/>
                </patternFill>
              </fill>
            </x14:dxf>
          </x14:cfRule>
          <x14:cfRule type="cellIs" priority="2570" operator="equal" id="{859A02B1-887E-433F-AFBB-AEBD77797781}">
            <xm:f>'Clash Matrix Legend'!#REF!</xm:f>
            <x14:dxf>
              <fill>
                <patternFill>
                  <bgColor theme="8" tint="0.79998168889431442"/>
                </patternFill>
              </fill>
            </x14:dxf>
          </x14:cfRule>
          <x14:cfRule type="cellIs" priority="2569" operator="equal" id="{79DAEA50-7E75-42ED-AF0F-20ABE9AB05D3}">
            <xm:f>'Clash Matrix Legend'!$A$9</xm:f>
            <x14:dxf>
              <fill>
                <patternFill>
                  <bgColor theme="8" tint="0.59996337778862885"/>
                </patternFill>
              </fill>
            </x14:dxf>
          </x14:cfRule>
          <xm:sqref>AK5</xm:sqref>
        </x14:conditionalFormatting>
        <x14:conditionalFormatting xmlns:xm="http://schemas.microsoft.com/office/excel/2006/main">
          <x14:cfRule type="cellIs" priority="2055" operator="equal" id="{FB32FD4F-F5CE-4639-99E8-2243B9F66C6C}">
            <xm:f>'Clash Matrix Legend'!$A$9</xm:f>
            <x14:dxf>
              <fill>
                <patternFill>
                  <bgColor theme="8" tint="0.59996337778862885"/>
                </patternFill>
              </fill>
            </x14:dxf>
          </x14:cfRule>
          <x14:cfRule type="cellIs" priority="2056" operator="equal" id="{48793BE9-BC63-41A6-8DE3-1749B4D339D5}">
            <xm:f>'Clash Matrix Legend'!#REF!</xm:f>
            <x14:dxf>
              <fill>
                <patternFill>
                  <bgColor theme="8" tint="0.79998168889431442"/>
                </patternFill>
              </fill>
            </x14:dxf>
          </x14:cfRule>
          <x14:cfRule type="cellIs" priority="2050" operator="equal" id="{02983E70-B8CB-45F7-A7DC-3CE282D6D1FC}">
            <xm:f>'Clash Matrix Legend'!$A$11</xm:f>
            <x14:dxf>
              <fill>
                <patternFill>
                  <bgColor theme="8" tint="-0.499984740745262"/>
                </patternFill>
              </fill>
            </x14:dxf>
          </x14:cfRule>
          <x14:cfRule type="cellIs" priority="2054" operator="equal" id="{5EE11102-8828-4448-A0DC-FD3A67BB2F09}">
            <xm:f>'Clash Matrix Legend'!$A$10</xm:f>
            <x14:dxf>
              <fill>
                <patternFill>
                  <bgColor theme="8" tint="-0.24994659260841701"/>
                </patternFill>
              </fill>
            </x14:dxf>
          </x14:cfRule>
          <xm:sqref>AK56</xm:sqref>
        </x14:conditionalFormatting>
        <x14:conditionalFormatting xmlns:xm="http://schemas.microsoft.com/office/excel/2006/main">
          <x14:cfRule type="cellIs" priority="2072" operator="equal" id="{382811EA-278A-419A-A5F4-9C71BCB0E0E4}">
            <xm:f>'Clash Matrix Legend'!#REF!</xm:f>
            <x14:dxf>
              <fill>
                <patternFill>
                  <bgColor theme="8" tint="0.79998168889431442"/>
                </patternFill>
              </fill>
            </x14:dxf>
          </x14:cfRule>
          <x14:cfRule type="cellIs" priority="2062" operator="equal" id="{A89A337D-4DDA-4E03-B0EE-4E2F8CC4697B}">
            <xm:f>'Clash Matrix Legend'!$A$10</xm:f>
            <x14:dxf>
              <fill>
                <patternFill>
                  <bgColor theme="8" tint="-0.24994659260841701"/>
                </patternFill>
              </fill>
            </x14:dxf>
          </x14:cfRule>
          <x14:cfRule type="cellIs" priority="2066" operator="equal" id="{71F1D4AF-90A0-4AEB-A910-7E20A326790C}">
            <xm:f>'Clash Matrix Legend'!$A$11</xm:f>
            <x14:dxf>
              <fill>
                <patternFill>
                  <bgColor theme="8" tint="-0.499984740745262"/>
                </patternFill>
              </fill>
            </x14:dxf>
          </x14:cfRule>
          <x14:cfRule type="cellIs" priority="2058" operator="equal" id="{6B2C881F-45D8-4765-85C9-1A061BB12E3E}">
            <xm:f>'Clash Matrix Legend'!$A$11</xm:f>
            <x14:dxf>
              <fill>
                <patternFill>
                  <bgColor theme="8" tint="-0.499984740745262"/>
                </patternFill>
              </fill>
            </x14:dxf>
          </x14:cfRule>
          <x14:cfRule type="cellIs" priority="2071" operator="equal" id="{42537C61-76F2-41E5-903F-9EC0969DE8B6}">
            <xm:f>'Clash Matrix Legend'!$A$9</xm:f>
            <x14:dxf>
              <fill>
                <patternFill>
                  <bgColor theme="8" tint="0.59996337778862885"/>
                </patternFill>
              </fill>
            </x14:dxf>
          </x14:cfRule>
          <x14:cfRule type="cellIs" priority="2070" operator="equal" id="{34605674-9C10-4101-9E2D-C4F2AA93B65A}">
            <xm:f>'Clash Matrix Legend'!$A$10</xm:f>
            <x14:dxf>
              <fill>
                <patternFill>
                  <bgColor theme="8" tint="-0.24994659260841701"/>
                </patternFill>
              </fill>
            </x14:dxf>
          </x14:cfRule>
          <x14:cfRule type="cellIs" priority="2064" operator="equal" id="{C5A56FFB-6DD3-486A-A7F4-A7BFD9D98A29}">
            <xm:f>'Clash Matrix Legend'!#REF!</xm:f>
            <x14:dxf>
              <fill>
                <patternFill>
                  <bgColor theme="8" tint="0.79998168889431442"/>
                </patternFill>
              </fill>
            </x14:dxf>
          </x14:cfRule>
          <x14:cfRule type="cellIs" priority="2063" operator="equal" id="{880B83DB-84C1-4645-88A0-D63CAEF7CA3F}">
            <xm:f>'Clash Matrix Legend'!$A$9</xm:f>
            <x14:dxf>
              <fill>
                <patternFill>
                  <bgColor theme="8" tint="0.59996337778862885"/>
                </patternFill>
              </fill>
            </x14:dxf>
          </x14:cfRule>
          <xm:sqref>AK56:AK57</xm:sqref>
        </x14:conditionalFormatting>
        <x14:conditionalFormatting xmlns:xm="http://schemas.microsoft.com/office/excel/2006/main">
          <x14:cfRule type="cellIs" priority="67" operator="equal" id="{9F4F928B-8273-4B15-AA7E-A05EC7F22C45}">
            <xm:f>'Clash Matrix Legend'!$A$11</xm:f>
            <x14:dxf>
              <fill>
                <patternFill>
                  <bgColor theme="8" tint="-0.499984740745262"/>
                </patternFill>
              </fill>
            </x14:dxf>
          </x14:cfRule>
          <x14:cfRule type="cellIs" priority="71" operator="equal" id="{24BCAA6E-9765-4C85-804E-1B2794E3152E}">
            <xm:f>'Clash Matrix Legend'!$A$10</xm:f>
            <x14:dxf>
              <fill>
                <patternFill>
                  <bgColor theme="8" tint="-0.24994659260841701"/>
                </patternFill>
              </fill>
            </x14:dxf>
          </x14:cfRule>
          <x14:cfRule type="cellIs" priority="72" operator="equal" id="{59E57388-1D60-4823-8CD1-1E20BAF00F62}">
            <xm:f>'Clash Matrix Legend'!$A$9</xm:f>
            <x14:dxf>
              <fill>
                <patternFill>
                  <bgColor theme="8" tint="0.59996337778862885"/>
                </patternFill>
              </fill>
            </x14:dxf>
          </x14:cfRule>
          <x14:cfRule type="cellIs" priority="73" operator="equal" id="{F0396089-D955-4A53-A2E9-338480F9EDEF}">
            <xm:f>'Clash Matrix Legend'!#REF!</xm:f>
            <x14:dxf>
              <fill>
                <patternFill>
                  <bgColor theme="8" tint="0.79998168889431442"/>
                </patternFill>
              </fill>
            </x14:dxf>
          </x14:cfRule>
          <x14:cfRule type="cellIs" priority="76" operator="equal" id="{7E715138-A82B-4EED-A911-5CEAFCD7817D}">
            <xm:f>'Clash Matrix Legend'!$A$11</xm:f>
            <x14:dxf>
              <fill>
                <patternFill>
                  <bgColor theme="8" tint="-0.499984740745262"/>
                </patternFill>
              </fill>
            </x14:dxf>
          </x14:cfRule>
          <x14:cfRule type="cellIs" priority="80" operator="equal" id="{BD20BD34-616A-4C6C-9600-345F55C01299}">
            <xm:f>'Clash Matrix Legend'!$A$10</xm:f>
            <x14:dxf>
              <fill>
                <patternFill>
                  <bgColor theme="8" tint="-0.24994659260841701"/>
                </patternFill>
              </fill>
            </x14:dxf>
          </x14:cfRule>
          <x14:cfRule type="cellIs" priority="81" operator="equal" id="{4206A673-E23C-416F-BE4C-8CD9D4330A0B}">
            <xm:f>'Clash Matrix Legend'!$A$9</xm:f>
            <x14:dxf>
              <fill>
                <patternFill>
                  <bgColor theme="8" tint="0.59996337778862885"/>
                </patternFill>
              </fill>
            </x14:dxf>
          </x14:cfRule>
          <x14:cfRule type="cellIs" priority="82" operator="equal" id="{487C93E9-C632-4419-8751-4E31AAE01183}">
            <xm:f>'Clash Matrix Legend'!#REF!</xm:f>
            <x14:dxf>
              <fill>
                <patternFill>
                  <bgColor theme="8" tint="0.79998168889431442"/>
                </patternFill>
              </fill>
            </x14:dxf>
          </x14:cfRule>
          <x14:cfRule type="cellIs" priority="1646" operator="equal" id="{A42C44E4-B0DA-40F4-8B93-3409F32E00D4}">
            <xm:f>'Clash Matrix Legend'!$A$9</xm:f>
            <x14:dxf>
              <fill>
                <patternFill>
                  <bgColor theme="8" tint="0.59996337778862885"/>
                </patternFill>
              </fill>
            </x14:dxf>
          </x14:cfRule>
          <x14:cfRule type="cellIs" priority="1647" operator="equal" id="{E4B92A1B-C6DD-46D2-AB68-DE796FC6D3C3}">
            <xm:f>'Clash Matrix Legend'!#REF!</xm:f>
            <x14:dxf>
              <fill>
                <patternFill>
                  <bgColor theme="8" tint="0.79998168889431442"/>
                </patternFill>
              </fill>
            </x14:dxf>
          </x14:cfRule>
          <x14:cfRule type="cellIs" priority="1641" operator="equal" id="{362FCF61-2A85-4A01-8B0B-D46E8241716A}">
            <xm:f>'Clash Matrix Legend'!$A$11</xm:f>
            <x14:dxf>
              <fill>
                <patternFill>
                  <bgColor theme="8" tint="-0.499984740745262"/>
                </patternFill>
              </fill>
            </x14:dxf>
          </x14:cfRule>
          <x14:cfRule type="cellIs" priority="1645" operator="equal" id="{D9124C81-E293-4D80-91AF-CA8E993369D0}">
            <xm:f>'Clash Matrix Legend'!$A$10</xm:f>
            <x14:dxf>
              <fill>
                <patternFill>
                  <bgColor theme="8" tint="-0.24994659260841701"/>
                </patternFill>
              </fill>
            </x14:dxf>
          </x14:cfRule>
          <x14:cfRule type="cellIs" priority="1559" operator="equal" id="{7FEA068C-0F3A-4583-8172-79C0527516A9}">
            <xm:f>'Clash Matrix Legend'!#REF!</xm:f>
            <x14:dxf>
              <fill>
                <patternFill>
                  <bgColor theme="8" tint="0.79998168889431442"/>
                </patternFill>
              </fill>
            </x14:dxf>
          </x14:cfRule>
          <x14:cfRule type="cellIs" priority="1558" operator="equal" id="{AACF6F96-E304-46B5-9DF3-B2C8946E97E6}">
            <xm:f>'Clash Matrix Legend'!$A$9</xm:f>
            <x14:dxf>
              <fill>
                <patternFill>
                  <bgColor theme="8" tint="0.59996337778862885"/>
                </patternFill>
              </fill>
            </x14:dxf>
          </x14:cfRule>
          <x14:cfRule type="cellIs" priority="1557" operator="equal" id="{93F996CA-04A9-43F4-BCE7-DDD3CAE772FF}">
            <xm:f>'Clash Matrix Legend'!$A$10</xm:f>
            <x14:dxf>
              <fill>
                <patternFill>
                  <bgColor theme="8" tint="-0.24994659260841701"/>
                </patternFill>
              </fill>
            </x14:dxf>
          </x14:cfRule>
          <x14:cfRule type="cellIs" priority="1553" operator="equal" id="{142551E8-6285-4103-8A76-B854E3C2C755}">
            <xm:f>'Clash Matrix Legend'!$A$11</xm:f>
            <x14:dxf>
              <fill>
                <patternFill>
                  <bgColor theme="8" tint="-0.499984740745262"/>
                </patternFill>
              </fill>
            </x14:dxf>
          </x14:cfRule>
          <x14:cfRule type="cellIs" priority="1549" operator="equal" id="{7B621DD0-B8D1-47BB-9297-88AD4CF5D522}">
            <xm:f>'Clash Matrix Legend'!#REF!</xm:f>
            <x14:dxf>
              <fill>
                <patternFill>
                  <bgColor theme="8" tint="0.79998168889431442"/>
                </patternFill>
              </fill>
            </x14:dxf>
          </x14:cfRule>
          <x14:cfRule type="cellIs" priority="1548" operator="equal" id="{418EFE8F-6F08-4742-8F35-04E29CD799A7}">
            <xm:f>'Clash Matrix Legend'!$A$9</xm:f>
            <x14:dxf>
              <fill>
                <patternFill>
                  <bgColor theme="8" tint="0.59996337778862885"/>
                </patternFill>
              </fill>
            </x14:dxf>
          </x14:cfRule>
          <x14:cfRule type="cellIs" priority="1547" operator="equal" id="{7D957B65-4414-4C8E-9115-7EF32FA06DA6}">
            <xm:f>'Clash Matrix Legend'!$A$10</xm:f>
            <x14:dxf>
              <fill>
                <patternFill>
                  <bgColor theme="8" tint="-0.24994659260841701"/>
                </patternFill>
              </fill>
            </x14:dxf>
          </x14:cfRule>
          <x14:cfRule type="cellIs" priority="1543" operator="equal" id="{2FF61459-E11B-4DEB-A165-41B84853AF53}">
            <xm:f>'Clash Matrix Legend'!$A$11</xm:f>
            <x14:dxf>
              <fill>
                <patternFill>
                  <bgColor theme="8" tint="-0.499984740745262"/>
                </patternFill>
              </fill>
            </x14:dxf>
          </x14:cfRule>
          <xm:sqref>AK70:AK71</xm:sqref>
        </x14:conditionalFormatting>
        <x14:conditionalFormatting xmlns:xm="http://schemas.microsoft.com/office/excel/2006/main">
          <x14:cfRule type="cellIs" priority="60" operator="equal" id="{EA0EC875-5855-4CEC-B153-6FAFF3626FA8}">
            <xm:f>'Clash Matrix Legend'!$A$11</xm:f>
            <x14:dxf>
              <fill>
                <patternFill>
                  <bgColor theme="8" tint="-0.499984740745262"/>
                </patternFill>
              </fill>
            </x14:dxf>
          </x14:cfRule>
          <x14:cfRule type="cellIs" priority="65" operator="equal" id="{D22AD6AB-6F81-4314-BFBB-9B21258C3341}">
            <xm:f>'Clash Matrix Legend'!#REF!</xm:f>
            <x14:dxf>
              <fill>
                <patternFill>
                  <bgColor theme="8" tint="0.79998168889431442"/>
                </patternFill>
              </fill>
            </x14:dxf>
          </x14:cfRule>
          <x14:cfRule type="cellIs" priority="63" operator="equal" id="{B207376D-501D-4AC9-8FCE-040A21EB4656}">
            <xm:f>'Clash Matrix Legend'!$A$10</xm:f>
            <x14:dxf>
              <fill>
                <patternFill>
                  <bgColor theme="8" tint="-0.24994659260841701"/>
                </patternFill>
              </fill>
            </x14:dxf>
          </x14:cfRule>
          <x14:cfRule type="cellIs" priority="64" operator="equal" id="{E6223DCE-23FA-4173-8CA0-C53C2332C9A1}">
            <xm:f>'Clash Matrix Legend'!$A$9</xm:f>
            <x14:dxf>
              <fill>
                <patternFill>
                  <bgColor theme="8" tint="0.59996337778862885"/>
                </patternFill>
              </fill>
            </x14:dxf>
          </x14:cfRule>
          <xm:sqref>AK71</xm:sqref>
        </x14:conditionalFormatting>
        <x14:conditionalFormatting xmlns:xm="http://schemas.microsoft.com/office/excel/2006/main">
          <x14:cfRule type="cellIs" priority="6801" operator="equal" id="{C63D9EDF-D077-4C85-AE82-2E7FEBBFA42D}">
            <xm:f>'Clash Matrix Legend'!$A$11</xm:f>
            <x14:dxf>
              <fill>
                <patternFill>
                  <bgColor theme="8" tint="-0.499984740745262"/>
                </patternFill>
              </fill>
            </x14:dxf>
          </x14:cfRule>
          <xm:sqref>AK13:AL13 V21:W21 T24:AK24 AM24 R28:AK28 AM28 Y30:AK30 AM30 T32:W32 Y32:AJ32 AM32 T34:W34 Y34:AK34 AM34 Y44:AM45</xm:sqref>
        </x14:conditionalFormatting>
        <x14:conditionalFormatting xmlns:xm="http://schemas.microsoft.com/office/excel/2006/main">
          <x14:cfRule type="cellIs" priority="8119" operator="equal" id="{D6CD3763-E2D3-403E-A754-637F9FA678C3}">
            <xm:f>'Clash Matrix Legend'!$A$9</xm:f>
            <x14:dxf>
              <fill>
                <patternFill>
                  <bgColor theme="8" tint="0.59996337778862885"/>
                </patternFill>
              </fill>
            </x14:dxf>
          </x14:cfRule>
          <x14:cfRule type="cellIs" priority="8118" operator="equal" id="{255963C7-F7FA-487A-9C7E-1EB19495F1B7}">
            <xm:f>'Clash Matrix Legend'!$A$10</xm:f>
            <x14:dxf>
              <fill>
                <patternFill>
                  <bgColor theme="8" tint="-0.24994659260841701"/>
                </patternFill>
              </fill>
            </x14:dxf>
          </x14:cfRule>
          <x14:cfRule type="cellIs" priority="8125" operator="equal" id="{797DA9CA-A6BD-4803-B7F0-AF9C041D5196}">
            <xm:f>'Clash Matrix Legend'!$A$9</xm:f>
            <x14:dxf>
              <fill>
                <patternFill>
                  <bgColor theme="8" tint="0.59996337778862885"/>
                </patternFill>
              </fill>
            </x14:dxf>
          </x14:cfRule>
          <x14:cfRule type="cellIs" priority="8138" operator="equal" id="{586E60C3-7805-4548-BE8C-B719BAB13BD8}">
            <xm:f>'Clash Matrix Legend'!$A$9</xm:f>
            <x14:dxf>
              <fill>
                <patternFill>
                  <bgColor theme="8" tint="0.59996337778862885"/>
                </patternFill>
              </fill>
            </x14:dxf>
          </x14:cfRule>
          <x14:cfRule type="cellIs" priority="8115" operator="equal" id="{203295BA-CAB8-49BD-B392-38DEDCA56B07}">
            <xm:f>'Clash Matrix Legend'!$A$11</xm:f>
            <x14:dxf>
              <fill>
                <patternFill>
                  <bgColor theme="8" tint="-0.499984740745262"/>
                </patternFill>
              </fill>
            </x14:dxf>
          </x14:cfRule>
          <x14:cfRule type="cellIs" priority="8139" operator="equal" id="{3D7C9D8A-1AF1-4041-982F-E058236A022C}">
            <xm:f>'Clash Matrix Legend'!#REF!</xm:f>
            <x14:dxf>
              <fill>
                <patternFill>
                  <bgColor theme="8" tint="0.79998168889431442"/>
                </patternFill>
              </fill>
            </x14:dxf>
          </x14:cfRule>
          <x14:cfRule type="cellIs" priority="8137" operator="equal" id="{C9BBF3F6-B589-489B-B3FE-384D5FA0B61D}">
            <xm:f>'Clash Matrix Legend'!$A$10</xm:f>
            <x14:dxf>
              <fill>
                <patternFill>
                  <bgColor theme="8" tint="-0.24994659260841701"/>
                </patternFill>
              </fill>
            </x14:dxf>
          </x14:cfRule>
          <x14:cfRule type="cellIs" priority="8134" operator="equal" id="{F4F4A5A4-BA11-4553-A6B6-4696A43C3321}">
            <xm:f>'Clash Matrix Legend'!$A$11</xm:f>
            <x14:dxf>
              <fill>
                <patternFill>
                  <bgColor theme="8" tint="-0.499984740745262"/>
                </patternFill>
              </fill>
            </x14:dxf>
          </x14:cfRule>
          <x14:cfRule type="cellIs" priority="8133" operator="equal" id="{8757CB1C-ADA7-46B5-AF49-4E293DAB0B27}">
            <xm:f>'Clash Matrix Legend'!#REF!</xm:f>
            <x14:dxf>
              <fill>
                <patternFill>
                  <bgColor theme="8" tint="0.79998168889431442"/>
                </patternFill>
              </fill>
            </x14:dxf>
          </x14:cfRule>
          <x14:cfRule type="cellIs" priority="8132" operator="equal" id="{1940012D-856A-434F-9620-72E0217D260A}">
            <xm:f>'Clash Matrix Legend'!$A$9</xm:f>
            <x14:dxf>
              <fill>
                <patternFill>
                  <bgColor theme="8" tint="0.59996337778862885"/>
                </patternFill>
              </fill>
            </x14:dxf>
          </x14:cfRule>
          <x14:cfRule type="cellIs" priority="8131" operator="equal" id="{95166D88-7349-4F40-90D2-4CD5F3A2760D}">
            <xm:f>'Clash Matrix Legend'!$A$10</xm:f>
            <x14:dxf>
              <fill>
                <patternFill>
                  <bgColor theme="8" tint="-0.24994659260841701"/>
                </patternFill>
              </fill>
            </x14:dxf>
          </x14:cfRule>
          <x14:cfRule type="cellIs" priority="8128" operator="equal" id="{58877516-6FD9-4002-AA33-FA45B6A7033E}">
            <xm:f>'Clash Matrix Legend'!$A$11</xm:f>
            <x14:dxf>
              <fill>
                <patternFill>
                  <bgColor theme="8" tint="-0.499984740745262"/>
                </patternFill>
              </fill>
            </x14:dxf>
          </x14:cfRule>
          <x14:cfRule type="cellIs" priority="8126" operator="equal" id="{BD5E0AF2-9082-4999-AFB1-1C7F0116BF60}">
            <xm:f>'Clash Matrix Legend'!#REF!</xm:f>
            <x14:dxf>
              <fill>
                <patternFill>
                  <bgColor theme="8" tint="0.79998168889431442"/>
                </patternFill>
              </fill>
            </x14:dxf>
          </x14:cfRule>
          <x14:cfRule type="cellIs" priority="8124" operator="equal" id="{CB65219A-76C2-4979-AF89-685449C95338}">
            <xm:f>'Clash Matrix Legend'!$A$10</xm:f>
            <x14:dxf>
              <fill>
                <patternFill>
                  <bgColor theme="8" tint="-0.24994659260841701"/>
                </patternFill>
              </fill>
            </x14:dxf>
          </x14:cfRule>
          <x14:cfRule type="cellIs" priority="8121" operator="equal" id="{5C87BCE1-B53C-4053-9A95-7C0F68CCEA12}">
            <xm:f>'Clash Matrix Legend'!$A$11</xm:f>
            <x14:dxf>
              <fill>
                <patternFill>
                  <bgColor theme="8" tint="-0.499984740745262"/>
                </patternFill>
              </fill>
            </x14:dxf>
          </x14:cfRule>
          <x14:cfRule type="cellIs" priority="8120" operator="equal" id="{D2C9C21D-777D-4150-910D-A92F65B99919}">
            <xm:f>'Clash Matrix Legend'!#REF!</xm:f>
            <x14:dxf>
              <fill>
                <patternFill>
                  <bgColor theme="8" tint="0.79998168889431442"/>
                </patternFill>
              </fill>
            </x14:dxf>
          </x14:cfRule>
          <xm:sqref>AK64:AL64</xm:sqref>
        </x14:conditionalFormatting>
        <x14:conditionalFormatting xmlns:xm="http://schemas.microsoft.com/office/excel/2006/main">
          <x14:cfRule type="cellIs" priority="8091" operator="equal" id="{E972D2B3-E738-49F7-A7E1-059B101EA243}">
            <xm:f>'Clash Matrix Legend'!$A$11</xm:f>
            <x14:dxf>
              <fill>
                <patternFill>
                  <bgColor theme="8" tint="-0.499984740745262"/>
                </patternFill>
              </fill>
            </x14:dxf>
          </x14:cfRule>
          <xm:sqref>AK66:AL71 AL70:AM70 AK60:AL64 AC55</xm:sqref>
        </x14:conditionalFormatting>
        <x14:conditionalFormatting xmlns:xm="http://schemas.microsoft.com/office/excel/2006/main">
          <x14:cfRule type="cellIs" priority="1739" operator="equal" id="{26A9D15B-9DA9-48AF-B35A-5920791CCDB6}">
            <xm:f>'Clash Matrix Legend'!$A$11</xm:f>
            <x14:dxf>
              <fill>
                <patternFill>
                  <bgColor theme="8" tint="-0.499984740745262"/>
                </patternFill>
              </fill>
            </x14:dxf>
          </x14:cfRule>
          <x14:cfRule type="cellIs" priority="1734" operator="equal" id="{3D06A118-A5F6-4857-A857-2E9234E1325F}">
            <xm:f>'Clash Matrix Legend'!$A$9</xm:f>
            <x14:dxf>
              <fill>
                <patternFill>
                  <bgColor theme="8" tint="0.59996337778862885"/>
                </patternFill>
              </fill>
            </x14:dxf>
          </x14:cfRule>
          <x14:cfRule type="cellIs" priority="1733" operator="equal" id="{CCA87D3C-F2DD-4800-8A6F-7C3E67BE4442}">
            <xm:f>'Clash Matrix Legend'!$A$10</xm:f>
            <x14:dxf>
              <fill>
                <patternFill>
                  <bgColor theme="8" tint="-0.24994659260841701"/>
                </patternFill>
              </fill>
            </x14:dxf>
          </x14:cfRule>
          <x14:cfRule type="cellIs" priority="1735" operator="equal" id="{CF5DC013-1235-4311-916B-24A13758CD23}">
            <xm:f>'Clash Matrix Legend'!#REF!</xm:f>
            <x14:dxf>
              <fill>
                <patternFill>
                  <bgColor theme="8" tint="0.79998168889431442"/>
                </patternFill>
              </fill>
            </x14:dxf>
          </x14:cfRule>
          <x14:cfRule type="cellIs" priority="1729" operator="equal" id="{3C236365-CB64-46DF-95DE-D8FB9FDFC5CE}">
            <xm:f>'Clash Matrix Legend'!$A$11</xm:f>
            <x14:dxf>
              <fill>
                <patternFill>
                  <bgColor theme="8" tint="-0.499984740745262"/>
                </patternFill>
              </fill>
            </x14:dxf>
          </x14:cfRule>
          <x14:cfRule type="cellIs" priority="1745" operator="equal" id="{D807B76B-5B08-4732-BEF5-BB150B2F015C}">
            <xm:f>'Clash Matrix Legend'!#REF!</xm:f>
            <x14:dxf>
              <fill>
                <patternFill>
                  <bgColor theme="8" tint="0.79998168889431442"/>
                </patternFill>
              </fill>
            </x14:dxf>
          </x14:cfRule>
          <x14:cfRule type="cellIs" priority="1744" operator="equal" id="{71AA2BE7-8014-4CB7-B31F-D2D0F3589C2E}">
            <xm:f>'Clash Matrix Legend'!$A$9</xm:f>
            <x14:dxf>
              <fill>
                <patternFill>
                  <bgColor theme="8" tint="0.59996337778862885"/>
                </patternFill>
              </fill>
            </x14:dxf>
          </x14:cfRule>
          <x14:cfRule type="cellIs" priority="1743" operator="equal" id="{BB9140E1-F4F3-442C-8032-086D7FDA6AD8}">
            <xm:f>'Clash Matrix Legend'!$A$10</xm:f>
            <x14:dxf>
              <fill>
                <patternFill>
                  <bgColor theme="8" tint="-0.24994659260841701"/>
                </patternFill>
              </fill>
            </x14:dxf>
          </x14:cfRule>
          <xm:sqref>AK68:AL69</xm:sqref>
        </x14:conditionalFormatting>
        <x14:conditionalFormatting xmlns:xm="http://schemas.microsoft.com/office/excel/2006/main">
          <x14:cfRule type="cellIs" priority="2153" operator="equal" id="{B55817AC-9A1D-4E21-AC32-2B213D6CA829}">
            <xm:f>'Clash Matrix Legend'!$A$11</xm:f>
            <x14:dxf>
              <fill>
                <patternFill>
                  <bgColor theme="8" tint="-0.499984740745262"/>
                </patternFill>
              </fill>
            </x14:dxf>
          </x14:cfRule>
          <xm:sqref>AK36:AM36</xm:sqref>
        </x14:conditionalFormatting>
        <x14:conditionalFormatting xmlns:xm="http://schemas.microsoft.com/office/excel/2006/main">
          <x14:cfRule type="cellIs" priority="2123" operator="equal" id="{BC1F4175-E13E-4A94-8222-FB47273A9E11}">
            <xm:f>'Clash Matrix Legend'!$A$11</xm:f>
            <x14:dxf>
              <fill>
                <patternFill>
                  <bgColor theme="8" tint="-0.499984740745262"/>
                </patternFill>
              </fill>
            </x14:dxf>
          </x14:cfRule>
          <xm:sqref>AK38:AM38</xm:sqref>
        </x14:conditionalFormatting>
        <x14:conditionalFormatting xmlns:xm="http://schemas.microsoft.com/office/excel/2006/main">
          <x14:cfRule type="cellIs" priority="2079" operator="equal" id="{0A0CE5C0-6AF2-49C4-B9F0-6A7F48FF4AB7}">
            <xm:f>'Clash Matrix Legend'!$A$10</xm:f>
            <x14:dxf>
              <fill>
                <patternFill>
                  <bgColor theme="8" tint="-0.24994659260841701"/>
                </patternFill>
              </fill>
            </x14:dxf>
          </x14:cfRule>
          <x14:cfRule type="cellIs" priority="2080" operator="equal" id="{FD003475-CB16-4DD2-B92A-84A50A49366A}">
            <xm:f>'Clash Matrix Legend'!$A$9</xm:f>
            <x14:dxf>
              <fill>
                <patternFill>
                  <bgColor theme="8" tint="0.59996337778862885"/>
                </patternFill>
              </fill>
            </x14:dxf>
          </x14:cfRule>
          <x14:cfRule type="cellIs" priority="2081" operator="equal" id="{0FCF7C24-0B99-4C89-ADAF-CF030A1EB778}">
            <xm:f>'Clash Matrix Legend'!#REF!</xm:f>
            <x14:dxf>
              <fill>
                <patternFill>
                  <bgColor theme="8" tint="0.79998168889431442"/>
                </patternFill>
              </fill>
            </x14:dxf>
          </x14:cfRule>
          <x14:cfRule type="cellIs" priority="2075" operator="equal" id="{66723E15-B7DA-438C-887C-F7630846B6BA}">
            <xm:f>'Clash Matrix Legend'!$A$11</xm:f>
            <x14:dxf>
              <fill>
                <patternFill>
                  <bgColor theme="8" tint="-0.499984740745262"/>
                </patternFill>
              </fill>
            </x14:dxf>
          </x14:cfRule>
          <xm:sqref>AK54:AM55</xm:sqref>
        </x14:conditionalFormatting>
        <x14:conditionalFormatting xmlns:xm="http://schemas.microsoft.com/office/excel/2006/main">
          <x14:cfRule type="cellIs" priority="1922" operator="equal" id="{D2102DD3-8992-4C61-A5C8-E8FD683FD0AF}">
            <xm:f>'Clash Matrix Legend'!$A$11</xm:f>
            <x14:dxf>
              <fill>
                <patternFill>
                  <bgColor theme="8" tint="-0.499984740745262"/>
                </patternFill>
              </fill>
            </x14:dxf>
          </x14:cfRule>
          <x14:cfRule type="cellIs" priority="1926" operator="equal" id="{E12C665E-0676-4648-AA02-A68B0230AE81}">
            <xm:f>'Clash Matrix Legend'!$A$10</xm:f>
            <x14:dxf>
              <fill>
                <patternFill>
                  <bgColor theme="8" tint="-0.24994659260841701"/>
                </patternFill>
              </fill>
            </x14:dxf>
          </x14:cfRule>
          <x14:cfRule type="cellIs" priority="1927" operator="equal" id="{77EFD9C6-CF92-4B26-B7EC-C3E7EF35FCDE}">
            <xm:f>'Clash Matrix Legend'!$A$9</xm:f>
            <x14:dxf>
              <fill>
                <patternFill>
                  <bgColor theme="8" tint="0.59996337778862885"/>
                </patternFill>
              </fill>
            </x14:dxf>
          </x14:cfRule>
          <x14:cfRule type="cellIs" priority="1914" operator="equal" id="{98DDD5DE-694F-473A-A71F-3C25AC72D3E3}">
            <xm:f>'Clash Matrix Legend'!$A$11</xm:f>
            <x14:dxf>
              <fill>
                <patternFill>
                  <bgColor theme="8" tint="-0.499984740745262"/>
                </patternFill>
              </fill>
            </x14:dxf>
          </x14:cfRule>
          <x14:cfRule type="cellIs" priority="1918" operator="equal" id="{0EE44A4D-418F-4FEB-A07D-FC60FF0BD1AB}">
            <xm:f>'Clash Matrix Legend'!$A$10</xm:f>
            <x14:dxf>
              <fill>
                <patternFill>
                  <bgColor theme="8" tint="-0.24994659260841701"/>
                </patternFill>
              </fill>
            </x14:dxf>
          </x14:cfRule>
          <x14:cfRule type="cellIs" priority="1928" operator="equal" id="{B882EDD3-2605-4C33-968B-60DD8E393752}">
            <xm:f>'Clash Matrix Legend'!#REF!</xm:f>
            <x14:dxf>
              <fill>
                <patternFill>
                  <bgColor theme="8" tint="0.79998168889431442"/>
                </patternFill>
              </fill>
            </x14:dxf>
          </x14:cfRule>
          <x14:cfRule type="cellIs" priority="1920" operator="equal" id="{66618153-7A11-4219-957D-AE2D9988CC95}">
            <xm:f>'Clash Matrix Legend'!#REF!</xm:f>
            <x14:dxf>
              <fill>
                <patternFill>
                  <bgColor theme="8" tint="0.79998168889431442"/>
                </patternFill>
              </fill>
            </x14:dxf>
          </x14:cfRule>
          <x14:cfRule type="cellIs" priority="1919" operator="equal" id="{F0E03F3B-3093-4F05-A3A8-B4568548B7A0}">
            <xm:f>'Clash Matrix Legend'!$A$9</xm:f>
            <x14:dxf>
              <fill>
                <patternFill>
                  <bgColor theme="8" tint="0.59996337778862885"/>
                </patternFill>
              </fill>
            </x14:dxf>
          </x14:cfRule>
          <xm:sqref>AK58:AM59</xm:sqref>
        </x14:conditionalFormatting>
        <x14:conditionalFormatting xmlns:xm="http://schemas.microsoft.com/office/excel/2006/main">
          <x14:cfRule type="cellIs" priority="1885" operator="equal" id="{3C5C7B98-811D-47A2-846F-D73AB97927A1}">
            <xm:f>'Clash Matrix Legend'!$A$11</xm:f>
            <x14:dxf>
              <fill>
                <patternFill>
                  <bgColor theme="8" tint="-0.499984740745262"/>
                </patternFill>
              </fill>
            </x14:dxf>
          </x14:cfRule>
          <x14:cfRule type="cellIs" priority="1890" operator="equal" id="{A606E676-FA82-4D13-BE94-AC11E66E8927}">
            <xm:f>'Clash Matrix Legend'!$A$9</xm:f>
            <x14:dxf>
              <fill>
                <patternFill>
                  <bgColor theme="8" tint="0.59996337778862885"/>
                </patternFill>
              </fill>
            </x14:dxf>
          </x14:cfRule>
          <x14:cfRule type="cellIs" priority="1889" operator="equal" id="{4FB68F11-60FE-432C-B618-1ED7971F86E1}">
            <xm:f>'Clash Matrix Legend'!$A$10</xm:f>
            <x14:dxf>
              <fill>
                <patternFill>
                  <bgColor theme="8" tint="-0.24994659260841701"/>
                </patternFill>
              </fill>
            </x14:dxf>
          </x14:cfRule>
          <x14:cfRule type="cellIs" priority="1891" operator="equal" id="{CB38360A-C219-4993-BF17-B56E2A673643}">
            <xm:f>'Clash Matrix Legend'!#REF!</xm:f>
            <x14:dxf>
              <fill>
                <patternFill>
                  <bgColor theme="8" tint="0.79998168889431442"/>
                </patternFill>
              </fill>
            </x14:dxf>
          </x14:cfRule>
          <xm:sqref>AK60:AM61</xm:sqref>
        </x14:conditionalFormatting>
        <x14:conditionalFormatting xmlns:xm="http://schemas.microsoft.com/office/excel/2006/main">
          <x14:cfRule type="cellIs" priority="1834" operator="equal" id="{6B09CDBA-B397-4CA4-8674-B2D037C3F7DF}">
            <xm:f>'Clash Matrix Legend'!#REF!</xm:f>
            <x14:dxf>
              <fill>
                <patternFill>
                  <bgColor theme="8" tint="0.79998168889431442"/>
                </patternFill>
              </fill>
            </x14:dxf>
          </x14:cfRule>
          <x14:cfRule type="cellIs" priority="1833" operator="equal" id="{34E1E095-48AC-48F9-8A4C-A1DF63CEBF2F}">
            <xm:f>'Clash Matrix Legend'!$A$9</xm:f>
            <x14:dxf>
              <fill>
                <patternFill>
                  <bgColor theme="8" tint="0.59996337778862885"/>
                </patternFill>
              </fill>
            </x14:dxf>
          </x14:cfRule>
          <x14:cfRule type="cellIs" priority="1832" operator="equal" id="{C16A489D-572E-4B04-BD95-710FCD60112A}">
            <xm:f>'Clash Matrix Legend'!$A$10</xm:f>
            <x14:dxf>
              <fill>
                <patternFill>
                  <bgColor theme="8" tint="-0.24994659260841701"/>
                </patternFill>
              </fill>
            </x14:dxf>
          </x14:cfRule>
          <x14:cfRule type="cellIs" priority="1828" operator="equal" id="{AEFC99E4-2461-4921-BB4C-559BC98EFE3B}">
            <xm:f>'Clash Matrix Legend'!$A$11</xm:f>
            <x14:dxf>
              <fill>
                <patternFill>
                  <bgColor theme="8" tint="-0.499984740745262"/>
                </patternFill>
              </fill>
            </x14:dxf>
          </x14:cfRule>
          <xm:sqref>AK60:AM63</xm:sqref>
        </x14:conditionalFormatting>
        <x14:conditionalFormatting xmlns:xm="http://schemas.microsoft.com/office/excel/2006/main">
          <x14:cfRule type="cellIs" priority="1799" operator="equal" id="{C99E6948-5672-4536-AACD-6327EF255B7E}">
            <xm:f>'Clash Matrix Legend'!$A$11</xm:f>
            <x14:dxf>
              <fill>
                <patternFill>
                  <bgColor theme="8" tint="-0.499984740745262"/>
                </patternFill>
              </fill>
            </x14:dxf>
          </x14:cfRule>
          <x14:cfRule type="cellIs" priority="1803" operator="equal" id="{85711181-0012-4A46-BCFF-3FC6C7EAD5B6}">
            <xm:f>'Clash Matrix Legend'!$A$10</xm:f>
            <x14:dxf>
              <fill>
                <patternFill>
                  <bgColor theme="8" tint="-0.24994659260841701"/>
                </patternFill>
              </fill>
            </x14:dxf>
          </x14:cfRule>
          <x14:cfRule type="cellIs" priority="1804" operator="equal" id="{5B87A483-4F82-4733-A659-9647693B9A05}">
            <xm:f>'Clash Matrix Legend'!$A$9</xm:f>
            <x14:dxf>
              <fill>
                <patternFill>
                  <bgColor theme="8" tint="0.59996337778862885"/>
                </patternFill>
              </fill>
            </x14:dxf>
          </x14:cfRule>
          <x14:cfRule type="cellIs" priority="1805" operator="equal" id="{9DABC799-C5CD-43F5-A7E1-CC2A1DAB26E2}">
            <xm:f>'Clash Matrix Legend'!#REF!</xm:f>
            <x14:dxf>
              <fill>
                <patternFill>
                  <bgColor theme="8" tint="0.79998168889431442"/>
                </patternFill>
              </fill>
            </x14:dxf>
          </x14:cfRule>
          <x14:cfRule type="cellIs" priority="1814" operator="equal" id="{2E01B8B2-CEA8-4A01-9A11-BFFAC04E5369}">
            <xm:f>'Clash Matrix Legend'!$A$9</xm:f>
            <x14:dxf>
              <fill>
                <patternFill>
                  <bgColor theme="8" tint="0.59996337778862885"/>
                </patternFill>
              </fill>
            </x14:dxf>
          </x14:cfRule>
          <x14:cfRule type="cellIs" priority="1813" operator="equal" id="{2847F7B7-5844-4D5F-AB3F-9E62E0F97813}">
            <xm:f>'Clash Matrix Legend'!$A$10</xm:f>
            <x14:dxf>
              <fill>
                <patternFill>
                  <bgColor theme="8" tint="-0.24994659260841701"/>
                </patternFill>
              </fill>
            </x14:dxf>
          </x14:cfRule>
          <x14:cfRule type="cellIs" priority="1809" operator="equal" id="{DAFF4F7D-6165-4246-81A6-715F78B65851}">
            <xm:f>'Clash Matrix Legend'!$A$11</xm:f>
            <x14:dxf>
              <fill>
                <patternFill>
                  <bgColor theme="8" tint="-0.499984740745262"/>
                </patternFill>
              </fill>
            </x14:dxf>
          </x14:cfRule>
          <x14:cfRule type="cellIs" priority="1815" operator="equal" id="{5C5D1737-85A6-46F5-8D41-5339D4355541}">
            <xm:f>'Clash Matrix Legend'!#REF!</xm:f>
            <x14:dxf>
              <fill>
                <patternFill>
                  <bgColor theme="8" tint="0.79998168889431442"/>
                </patternFill>
              </fill>
            </x14:dxf>
          </x14:cfRule>
          <xm:sqref>AK66:AM67</xm:sqref>
        </x14:conditionalFormatting>
        <x14:conditionalFormatting xmlns:xm="http://schemas.microsoft.com/office/excel/2006/main">
          <x14:cfRule type="cellIs" priority="1691" operator="equal" id="{A8D24434-061A-413C-928E-59A9D52EF721}">
            <xm:f>'Clash Matrix Legend'!#REF!</xm:f>
            <x14:dxf>
              <fill>
                <patternFill>
                  <bgColor theme="8" tint="0.79998168889431442"/>
                </patternFill>
              </fill>
            </x14:dxf>
          </x14:cfRule>
          <x14:cfRule type="cellIs" priority="1692" operator="equal" id="{DE7C04FC-92F6-4083-B1E3-4983DE529311}">
            <xm:f>'Clash Matrix Legend'!$A$11</xm:f>
            <x14:dxf>
              <fill>
                <patternFill>
                  <bgColor theme="8" tint="-0.499984740745262"/>
                </patternFill>
              </fill>
            </x14:dxf>
          </x14:cfRule>
          <x14:cfRule type="cellIs" priority="1696" operator="equal" id="{923A5447-01F2-4118-9C5A-61EB2602E438}">
            <xm:f>'Clash Matrix Legend'!$A$10</xm:f>
            <x14:dxf>
              <fill>
                <patternFill>
                  <bgColor theme="8" tint="-0.24994659260841701"/>
                </patternFill>
              </fill>
            </x14:dxf>
          </x14:cfRule>
          <x14:cfRule type="cellIs" priority="1697" operator="equal" id="{EC420C82-EF71-4EEB-BAED-D459788E7CCB}">
            <xm:f>'Clash Matrix Legend'!$A$9</xm:f>
            <x14:dxf>
              <fill>
                <patternFill>
                  <bgColor theme="8" tint="0.59996337778862885"/>
                </patternFill>
              </fill>
            </x14:dxf>
          </x14:cfRule>
          <x14:cfRule type="cellIs" priority="1698" operator="equal" id="{7066A7FD-72B6-4843-A03F-2FD015D22550}">
            <xm:f>'Clash Matrix Legend'!#REF!</xm:f>
            <x14:dxf>
              <fill>
                <patternFill>
                  <bgColor theme="8" tint="0.79998168889431442"/>
                </patternFill>
              </fill>
            </x14:dxf>
          </x14:cfRule>
          <x14:cfRule type="cellIs" priority="1700" operator="equal" id="{8642D0E3-B7C7-41C1-8198-94E6C9B96C3C}">
            <xm:f>'Clash Matrix Legend'!$A$11</xm:f>
            <x14:dxf>
              <fill>
                <patternFill>
                  <bgColor theme="8" tint="-0.499984740745262"/>
                </patternFill>
              </fill>
            </x14:dxf>
          </x14:cfRule>
          <x14:cfRule type="cellIs" priority="1704" operator="equal" id="{F8B8803E-DA83-4727-A029-659AF1C8323A}">
            <xm:f>'Clash Matrix Legend'!$A$10</xm:f>
            <x14:dxf>
              <fill>
                <patternFill>
                  <bgColor theme="8" tint="-0.24994659260841701"/>
                </patternFill>
              </fill>
            </x14:dxf>
          </x14:cfRule>
          <x14:cfRule type="cellIs" priority="1705" operator="equal" id="{084EDF7A-7DC3-4419-9F63-66884BF91743}">
            <xm:f>'Clash Matrix Legend'!$A$9</xm:f>
            <x14:dxf>
              <fill>
                <patternFill>
                  <bgColor theme="8" tint="0.59996337778862885"/>
                </patternFill>
              </fill>
            </x14:dxf>
          </x14:cfRule>
          <x14:cfRule type="cellIs" priority="1706" operator="equal" id="{B25F6F76-523C-47B8-B3AC-1D0910824454}">
            <xm:f>'Clash Matrix Legend'!#REF!</xm:f>
            <x14:dxf>
              <fill>
                <patternFill>
                  <bgColor theme="8" tint="0.79998168889431442"/>
                </patternFill>
              </fill>
            </x14:dxf>
          </x14:cfRule>
          <x14:cfRule type="cellIs" priority="1708" operator="equal" id="{F595880D-4AA5-4DD1-BE25-018D854F6569}">
            <xm:f>'Clash Matrix Legend'!$A$11</xm:f>
            <x14:dxf>
              <fill>
                <patternFill>
                  <bgColor theme="8" tint="-0.499984740745262"/>
                </patternFill>
              </fill>
            </x14:dxf>
          </x14:cfRule>
          <x14:cfRule type="cellIs" priority="1711" operator="equal" id="{E1B2B351-B928-4D90-925E-DDFC4312FBBF}">
            <xm:f>'Clash Matrix Legend'!$A$10</xm:f>
            <x14:dxf>
              <fill>
                <patternFill>
                  <bgColor theme="8" tint="-0.24994659260841701"/>
                </patternFill>
              </fill>
            </x14:dxf>
          </x14:cfRule>
          <x14:cfRule type="cellIs" priority="1712" operator="equal" id="{6D636106-BC58-4F3C-BE40-46F019F8B7AB}">
            <xm:f>'Clash Matrix Legend'!$A$9</xm:f>
            <x14:dxf>
              <fill>
                <patternFill>
                  <bgColor theme="8" tint="0.59996337778862885"/>
                </patternFill>
              </fill>
            </x14:dxf>
          </x14:cfRule>
          <x14:cfRule type="cellIs" priority="1713" operator="equal" id="{89D51523-3298-403C-A2A3-A92B1725B211}">
            <xm:f>'Clash Matrix Legend'!#REF!</xm:f>
            <x14:dxf>
              <fill>
                <patternFill>
                  <bgColor theme="8" tint="0.79998168889431442"/>
                </patternFill>
              </fill>
            </x14:dxf>
          </x14:cfRule>
          <x14:cfRule type="cellIs" priority="1716" operator="equal" id="{9748D684-8C84-432A-9111-E6D0FE501158}">
            <xm:f>'Clash Matrix Legend'!$A$11</xm:f>
            <x14:dxf>
              <fill>
                <patternFill>
                  <bgColor theme="8" tint="-0.499984740745262"/>
                </patternFill>
              </fill>
            </x14:dxf>
          </x14:cfRule>
          <x14:cfRule type="cellIs" priority="1718" operator="equal" id="{8D933CCF-E6DC-44ED-BF31-D73F83E49F17}">
            <xm:f>'Clash Matrix Legend'!$A$11</xm:f>
            <x14:dxf>
              <fill>
                <patternFill>
                  <bgColor theme="8" tint="-0.499984740745262"/>
                </patternFill>
              </fill>
            </x14:dxf>
          </x14:cfRule>
          <x14:cfRule type="cellIs" priority="1583" operator="equal" id="{011282D6-84AF-45C3-AF48-BBBEA3BC12AB}">
            <xm:f>'Clash Matrix Legend'!$A$10</xm:f>
            <x14:dxf>
              <fill>
                <patternFill>
                  <bgColor theme="8" tint="-0.24994659260841701"/>
                </patternFill>
              </fill>
            </x14:dxf>
          </x14:cfRule>
          <x14:cfRule type="cellIs" priority="1584" operator="equal" id="{6B324433-32BD-4965-B74A-BDEF2BDC3B4E}">
            <xm:f>'Clash Matrix Legend'!$A$9</xm:f>
            <x14:dxf>
              <fill>
                <patternFill>
                  <bgColor theme="8" tint="0.59996337778862885"/>
                </patternFill>
              </fill>
            </x14:dxf>
          </x14:cfRule>
          <x14:cfRule type="cellIs" priority="1585" operator="equal" id="{A73F68FE-9AFD-4F52-BAE6-C531887E3983}">
            <xm:f>'Clash Matrix Legend'!#REF!</xm:f>
            <x14:dxf>
              <fill>
                <patternFill>
                  <bgColor theme="8" tint="0.79998168889431442"/>
                </patternFill>
              </fill>
            </x14:dxf>
          </x14:cfRule>
          <x14:cfRule type="cellIs" priority="1588" operator="equal" id="{29FA2F93-D6C0-4E0E-AE51-B68708CF9E8E}">
            <xm:f>'Clash Matrix Legend'!$A$11</xm:f>
            <x14:dxf>
              <fill>
                <patternFill>
                  <bgColor theme="8" tint="-0.499984740745262"/>
                </patternFill>
              </fill>
            </x14:dxf>
          </x14:cfRule>
          <x14:cfRule type="cellIs" priority="1592" operator="equal" id="{9E39CF19-6E0A-4727-9F3D-D0340C9BB23C}">
            <xm:f>'Clash Matrix Legend'!$A$10</xm:f>
            <x14:dxf>
              <fill>
                <patternFill>
                  <bgColor theme="8" tint="-0.24994659260841701"/>
                </patternFill>
              </fill>
            </x14:dxf>
          </x14:cfRule>
          <x14:cfRule type="cellIs" priority="1593" operator="equal" id="{FE005CC2-689F-4982-BF2A-68E0E7926513}">
            <xm:f>'Clash Matrix Legend'!$A$9</xm:f>
            <x14:dxf>
              <fill>
                <patternFill>
                  <bgColor theme="8" tint="0.59996337778862885"/>
                </patternFill>
              </fill>
            </x14:dxf>
          </x14:cfRule>
          <x14:cfRule type="cellIs" priority="1594" operator="equal" id="{A5B3B958-283E-4352-890B-4C46D296FF37}">
            <xm:f>'Clash Matrix Legend'!#REF!</xm:f>
            <x14:dxf>
              <fill>
                <patternFill>
                  <bgColor theme="8" tint="0.79998168889431442"/>
                </patternFill>
              </fill>
            </x14:dxf>
          </x14:cfRule>
          <x14:cfRule type="cellIs" priority="1579" operator="equal" id="{6BC1CFBB-7FB8-4407-91C3-7B53E1F9E91E}">
            <xm:f>'Clash Matrix Legend'!$A$11</xm:f>
            <x14:dxf>
              <fill>
                <patternFill>
                  <bgColor theme="8" tint="-0.499984740745262"/>
                </patternFill>
              </fill>
            </x14:dxf>
          </x14:cfRule>
          <x14:cfRule type="cellIs" priority="1612" operator="equal" id="{D3198D20-ADE0-4B9A-8256-4F44A6ED9455}">
            <xm:f>'Clash Matrix Legend'!$A$11</xm:f>
            <x14:dxf>
              <fill>
                <patternFill>
                  <bgColor theme="8" tint="-0.499984740745262"/>
                </patternFill>
              </fill>
            </x14:dxf>
          </x14:cfRule>
          <x14:cfRule type="cellIs" priority="1615" operator="equal" id="{2519FAE0-A977-4A43-9F6F-6CBDA157E8B9}">
            <xm:f>'Clash Matrix Legend'!$A$10</xm:f>
            <x14:dxf>
              <fill>
                <patternFill>
                  <bgColor theme="8" tint="-0.24994659260841701"/>
                </patternFill>
              </fill>
            </x14:dxf>
          </x14:cfRule>
          <x14:cfRule type="cellIs" priority="1616" operator="equal" id="{B283FAAC-0B16-4746-BE0B-857E26CB0CBC}">
            <xm:f>'Clash Matrix Legend'!$A$9</xm:f>
            <x14:dxf>
              <fill>
                <patternFill>
                  <bgColor theme="8" tint="0.59996337778862885"/>
                </patternFill>
              </fill>
            </x14:dxf>
          </x14:cfRule>
          <x14:cfRule type="cellIs" priority="1617" operator="equal" id="{02074474-6172-4BEB-A4B6-3652C43EB77E}">
            <xm:f>'Clash Matrix Legend'!#REF!</xm:f>
            <x14:dxf>
              <fill>
                <patternFill>
                  <bgColor theme="8" tint="0.79998168889431442"/>
                </patternFill>
              </fill>
            </x14:dxf>
          </x14:cfRule>
          <x14:cfRule type="cellIs" priority="1620" operator="equal" id="{435720C2-C8E1-4DA0-965D-40A4887330A5}">
            <xm:f>'Clash Matrix Legend'!$A$11</xm:f>
            <x14:dxf>
              <fill>
                <patternFill>
                  <bgColor theme="8" tint="-0.499984740745262"/>
                </patternFill>
              </fill>
            </x14:dxf>
          </x14:cfRule>
          <x14:cfRule type="cellIs" priority="1624" operator="equal" id="{9ECA860F-81B7-4C7E-9D9E-AA4CEDD11428}">
            <xm:f>'Clash Matrix Legend'!$A$11</xm:f>
            <x14:dxf>
              <fill>
                <patternFill>
                  <bgColor theme="8" tint="-0.499984740745262"/>
                </patternFill>
              </fill>
            </x14:dxf>
          </x14:cfRule>
          <x14:cfRule type="cellIs" priority="1628" operator="equal" id="{3128EE7A-8E46-4195-8685-E25F5CBB062F}">
            <xm:f>'Clash Matrix Legend'!$A$10</xm:f>
            <x14:dxf>
              <fill>
                <patternFill>
                  <bgColor theme="8" tint="-0.24994659260841701"/>
                </patternFill>
              </fill>
            </x14:dxf>
          </x14:cfRule>
          <x14:cfRule type="cellIs" priority="1629" operator="equal" id="{268147B5-B85C-42AA-8685-681A1E6927ED}">
            <xm:f>'Clash Matrix Legend'!$A$9</xm:f>
            <x14:dxf>
              <fill>
                <patternFill>
                  <bgColor theme="8" tint="0.59996337778862885"/>
                </patternFill>
              </fill>
            </x14:dxf>
          </x14:cfRule>
          <x14:cfRule type="cellIs" priority="1630" operator="equal" id="{5B04A1FC-E3DF-48AB-95BE-C50C76D6E88B}">
            <xm:f>'Clash Matrix Legend'!#REF!</xm:f>
            <x14:dxf>
              <fill>
                <patternFill>
                  <bgColor theme="8" tint="0.79998168889431442"/>
                </patternFill>
              </fill>
            </x14:dxf>
          </x14:cfRule>
          <x14:cfRule type="cellIs" priority="1633" operator="equal" id="{76C4A583-D254-4C0F-92F8-9D2E10B390BC}">
            <xm:f>'Clash Matrix Legend'!$A$10</xm:f>
            <x14:dxf>
              <fill>
                <patternFill>
                  <bgColor theme="8" tint="-0.24994659260841701"/>
                </patternFill>
              </fill>
            </x14:dxf>
          </x14:cfRule>
          <x14:cfRule type="cellIs" priority="1634" operator="equal" id="{9253ABB5-48D0-41F0-8CA5-46677168FB71}">
            <xm:f>'Clash Matrix Legend'!$A$9</xm:f>
            <x14:dxf>
              <fill>
                <patternFill>
                  <bgColor theme="8" tint="0.59996337778862885"/>
                </patternFill>
              </fill>
            </x14:dxf>
          </x14:cfRule>
          <x14:cfRule type="cellIs" priority="1635" operator="equal" id="{453A7DFE-AEE6-4E4B-AE4D-EF18575A0FCF}">
            <xm:f>'Clash Matrix Legend'!#REF!</xm:f>
            <x14:dxf>
              <fill>
                <patternFill>
                  <bgColor theme="8" tint="0.79998168889431442"/>
                </patternFill>
              </fill>
            </x14:dxf>
          </x14:cfRule>
          <x14:cfRule type="cellIs" priority="1651" operator="equal" id="{2FDF5763-1153-4AF4-83E0-83529D9A0010}">
            <xm:f>'Clash Matrix Legend'!$A$10</xm:f>
            <x14:dxf>
              <fill>
                <patternFill>
                  <bgColor theme="8" tint="-0.24994659260841701"/>
                </patternFill>
              </fill>
            </x14:dxf>
          </x14:cfRule>
          <x14:cfRule type="cellIs" priority="1652" operator="equal" id="{DB366103-939B-49CB-9A34-45DCFDEA96AC}">
            <xm:f>'Clash Matrix Legend'!$A$9</xm:f>
            <x14:dxf>
              <fill>
                <patternFill>
                  <bgColor theme="8" tint="0.59996337778862885"/>
                </patternFill>
              </fill>
            </x14:dxf>
          </x14:cfRule>
          <x14:cfRule type="cellIs" priority="1653" operator="equal" id="{090C9515-C82F-4E8B-9E5A-055ADA9AA3BE}">
            <xm:f>'Clash Matrix Legend'!#REF!</xm:f>
            <x14:dxf>
              <fill>
                <patternFill>
                  <bgColor theme="8" tint="0.79998168889431442"/>
                </patternFill>
              </fill>
            </x14:dxf>
          </x14:cfRule>
          <x14:cfRule type="cellIs" priority="1654" operator="equal" id="{A5BEE0E0-0AE1-4D6B-8082-927B3B309899}">
            <xm:f>'Clash Matrix Legend'!$A$11</xm:f>
            <x14:dxf>
              <fill>
                <patternFill>
                  <bgColor theme="8" tint="-0.499984740745262"/>
                </patternFill>
              </fill>
            </x14:dxf>
          </x14:cfRule>
          <x14:cfRule type="cellIs" priority="1658" operator="equal" id="{05D9ECB8-6B9B-4BEB-BB5C-B9AA78952AA5}">
            <xm:f>'Clash Matrix Legend'!$A$10</xm:f>
            <x14:dxf>
              <fill>
                <patternFill>
                  <bgColor theme="8" tint="-0.24994659260841701"/>
                </patternFill>
              </fill>
            </x14:dxf>
          </x14:cfRule>
          <x14:cfRule type="cellIs" priority="1659" operator="equal" id="{55767822-17ED-40EF-94DF-B3F732E0EA15}">
            <xm:f>'Clash Matrix Legend'!$A$9</xm:f>
            <x14:dxf>
              <fill>
                <patternFill>
                  <bgColor theme="8" tint="0.59996337778862885"/>
                </patternFill>
              </fill>
            </x14:dxf>
          </x14:cfRule>
          <x14:cfRule type="cellIs" priority="1660" operator="equal" id="{8D046CE8-CF32-46AC-A405-45196B7AFCD9}">
            <xm:f>'Clash Matrix Legend'!#REF!</xm:f>
            <x14:dxf>
              <fill>
                <patternFill>
                  <bgColor theme="8" tint="0.79998168889431442"/>
                </patternFill>
              </fill>
            </x14:dxf>
          </x14:cfRule>
          <x14:cfRule type="cellIs" priority="1665" operator="equal" id="{522B83F4-DA55-4FB9-8440-16C0787EED9F}">
            <xm:f>'Clash Matrix Legend'!$A$11</xm:f>
            <x14:dxf>
              <fill>
                <patternFill>
                  <bgColor theme="8" tint="-0.499984740745262"/>
                </patternFill>
              </fill>
            </x14:dxf>
          </x14:cfRule>
          <x14:cfRule type="cellIs" priority="1669" operator="equal" id="{AADE2FBF-4CC9-4BCC-B8CC-0A512E8C709A}">
            <xm:f>'Clash Matrix Legend'!$A$10</xm:f>
            <x14:dxf>
              <fill>
                <patternFill>
                  <bgColor theme="8" tint="-0.24994659260841701"/>
                </patternFill>
              </fill>
            </x14:dxf>
          </x14:cfRule>
          <x14:cfRule type="cellIs" priority="1670" operator="equal" id="{B09F0CD0-C2CA-4992-B9A7-81D02F1056AA}">
            <xm:f>'Clash Matrix Legend'!$A$9</xm:f>
            <x14:dxf>
              <fill>
                <patternFill>
                  <bgColor theme="8" tint="0.59996337778862885"/>
                </patternFill>
              </fill>
            </x14:dxf>
          </x14:cfRule>
          <x14:cfRule type="cellIs" priority="1671" operator="equal" id="{D6CFA09B-2343-4101-9F6C-1CD0A75E98F5}">
            <xm:f>'Clash Matrix Legend'!#REF!</xm:f>
            <x14:dxf>
              <fill>
                <patternFill>
                  <bgColor theme="8" tint="0.79998168889431442"/>
                </patternFill>
              </fill>
            </x14:dxf>
          </x14:cfRule>
          <x14:cfRule type="cellIs" priority="1683" operator="equal" id="{3A33DEBE-6D78-4B34-A069-C170C1040C3D}">
            <xm:f>'Clash Matrix Legend'!$A$10</xm:f>
            <x14:dxf>
              <fill>
                <patternFill>
                  <bgColor theme="8" tint="-0.24994659260841701"/>
                </patternFill>
              </fill>
            </x14:dxf>
          </x14:cfRule>
          <x14:cfRule type="cellIs" priority="1684" operator="equal" id="{26E9C0FE-68B9-4CCF-B7D2-6198CB91F668}">
            <xm:f>'Clash Matrix Legend'!$A$9</xm:f>
            <x14:dxf>
              <fill>
                <patternFill>
                  <bgColor theme="8" tint="0.59996337778862885"/>
                </patternFill>
              </fill>
            </x14:dxf>
          </x14:cfRule>
          <x14:cfRule type="cellIs" priority="1685" operator="equal" id="{587C2BF1-1598-408F-8402-F4BDAB5FF0C0}">
            <xm:f>'Clash Matrix Legend'!#REF!</xm:f>
            <x14:dxf>
              <fill>
                <patternFill>
                  <bgColor theme="8" tint="0.79998168889431442"/>
                </patternFill>
              </fill>
            </x14:dxf>
          </x14:cfRule>
          <x14:cfRule type="cellIs" priority="1686" operator="equal" id="{11BB4487-A64A-44BA-AB7D-E4A3BE9C8B49}">
            <xm:f>'Clash Matrix Legend'!$A$11</xm:f>
            <x14:dxf>
              <fill>
                <patternFill>
                  <bgColor theme="8" tint="-0.499984740745262"/>
                </patternFill>
              </fill>
            </x14:dxf>
          </x14:cfRule>
          <x14:cfRule type="cellIs" priority="1689" operator="equal" id="{0D6F42F7-1A80-4324-98B8-752B8CE4A17B}">
            <xm:f>'Clash Matrix Legend'!$A$10</xm:f>
            <x14:dxf>
              <fill>
                <patternFill>
                  <bgColor theme="8" tint="-0.24994659260841701"/>
                </patternFill>
              </fill>
            </x14:dxf>
          </x14:cfRule>
          <x14:cfRule type="cellIs" priority="1690" operator="equal" id="{15161A2F-B551-4C6A-B9DF-E118DA2F3F10}">
            <xm:f>'Clash Matrix Legend'!$A$9</xm:f>
            <x14:dxf>
              <fill>
                <patternFill>
                  <bgColor theme="8" tint="0.59996337778862885"/>
                </patternFill>
              </fill>
            </x14:dxf>
          </x14:cfRule>
          <xm:sqref>AK71:AM71</xm:sqref>
        </x14:conditionalFormatting>
        <x14:conditionalFormatting xmlns:xm="http://schemas.microsoft.com/office/excel/2006/main">
          <x14:cfRule type="cellIs" priority="1978" operator="equal" id="{A91062D9-5780-4ADD-B597-F8E27A0D2930}">
            <xm:f>'Clash Matrix Legend'!$A$11</xm:f>
            <x14:dxf>
              <fill>
                <patternFill>
                  <bgColor theme="8" tint="-0.499984740745262"/>
                </patternFill>
              </fill>
            </x14:dxf>
          </x14:cfRule>
          <xm:sqref>AL56:AL57</xm:sqref>
        </x14:conditionalFormatting>
        <x14:conditionalFormatting xmlns:xm="http://schemas.microsoft.com/office/excel/2006/main">
          <x14:cfRule type="cellIs" priority="2008" operator="equal" id="{DD235DA3-5E9E-468A-9923-42D7DC377028}">
            <xm:f>'Clash Matrix Legend'!#REF!</xm:f>
            <x14:dxf>
              <fill>
                <patternFill>
                  <bgColor theme="8" tint="0.79998168889431442"/>
                </patternFill>
              </fill>
            </x14:dxf>
          </x14:cfRule>
          <x14:cfRule type="cellIs" priority="1993" operator="equal" id="{377BD70C-43EF-44E6-B4E9-B9C5D17E51CC}">
            <xm:f>'Clash Matrix Legend'!$A$9</xm:f>
            <x14:dxf>
              <fill>
                <patternFill>
                  <bgColor theme="8" tint="0.59996337778862885"/>
                </patternFill>
              </fill>
            </x14:dxf>
          </x14:cfRule>
          <x14:cfRule type="cellIs" priority="2007" operator="equal" id="{BE2B843B-CF96-449A-AD60-85166C08E851}">
            <xm:f>'Clash Matrix Legend'!$A$9</xm:f>
            <x14:dxf>
              <fill>
                <patternFill>
                  <bgColor theme="8" tint="0.59996337778862885"/>
                </patternFill>
              </fill>
            </x14:dxf>
          </x14:cfRule>
          <x14:cfRule type="cellIs" priority="2006" operator="equal" id="{A15BC99A-34F6-4E51-B3D0-23DA5E3C4C43}">
            <xm:f>'Clash Matrix Legend'!$A$10</xm:f>
            <x14:dxf>
              <fill>
                <patternFill>
                  <bgColor theme="8" tint="-0.24994659260841701"/>
                </patternFill>
              </fill>
            </x14:dxf>
          </x14:cfRule>
          <x14:cfRule type="cellIs" priority="2002" operator="equal" id="{FE05BF7E-0AF4-4B80-B9BF-B955B81EFF04}">
            <xm:f>'Clash Matrix Legend'!$A$11</xm:f>
            <x14:dxf>
              <fill>
                <patternFill>
                  <bgColor theme="8" tint="-0.499984740745262"/>
                </patternFill>
              </fill>
            </x14:dxf>
          </x14:cfRule>
          <x14:cfRule type="cellIs" priority="1994" operator="equal" id="{3CB87EA6-E2EB-4D29-A928-04920896BD84}">
            <xm:f>'Clash Matrix Legend'!#REF!</xm:f>
            <x14:dxf>
              <fill>
                <patternFill>
                  <bgColor theme="8" tint="0.79998168889431442"/>
                </patternFill>
              </fill>
            </x14:dxf>
          </x14:cfRule>
          <x14:cfRule type="cellIs" priority="1992" operator="equal" id="{B2FD5FBF-80E8-4AD6-BEDF-F492553E16B8}">
            <xm:f>'Clash Matrix Legend'!$A$10</xm:f>
            <x14:dxf>
              <fill>
                <patternFill>
                  <bgColor theme="8" tint="-0.24994659260841701"/>
                </patternFill>
              </fill>
            </x14:dxf>
          </x14:cfRule>
          <x14:cfRule type="cellIs" priority="1988" operator="equal" id="{A95AEDB0-87BD-4EFE-B7DC-68E276DEA9B3}">
            <xm:f>'Clash Matrix Legend'!#REF!</xm:f>
            <x14:dxf>
              <fill>
                <patternFill>
                  <bgColor theme="8" tint="0.79998168889431442"/>
                </patternFill>
              </fill>
            </x14:dxf>
          </x14:cfRule>
          <x14:cfRule type="cellIs" priority="1987" operator="equal" id="{1DA98E38-E05C-4577-A82E-55C825A5BE34}">
            <xm:f>'Clash Matrix Legend'!$A$9</xm:f>
            <x14:dxf>
              <fill>
                <patternFill>
                  <bgColor theme="8" tint="0.59996337778862885"/>
                </patternFill>
              </fill>
            </x14:dxf>
          </x14:cfRule>
          <x14:cfRule type="cellIs" priority="1986" operator="equal" id="{C6F06711-5D73-4CF5-B16B-9AC1F6F909AF}">
            <xm:f>'Clash Matrix Legend'!$A$10</xm:f>
            <x14:dxf>
              <fill>
                <patternFill>
                  <bgColor theme="8" tint="-0.24994659260841701"/>
                </patternFill>
              </fill>
            </x14:dxf>
          </x14:cfRule>
          <x14:cfRule type="cellIs" priority="1982" operator="equal" id="{F2358603-ACCC-4541-BF4F-6A920BE2C6A6}">
            <xm:f>'Clash Matrix Legend'!$A$11</xm:f>
            <x14:dxf>
              <fill>
                <patternFill>
                  <bgColor theme="8" tint="-0.499984740745262"/>
                </patternFill>
              </fill>
            </x14:dxf>
          </x14:cfRule>
          <xm:sqref>AL57</xm:sqref>
        </x14:conditionalFormatting>
        <x14:conditionalFormatting xmlns:xm="http://schemas.microsoft.com/office/excel/2006/main">
          <x14:cfRule type="cellIs" priority="1502" operator="equal" id="{4E420BAA-BEE9-4D9E-BA05-F4ABCD5776CB}">
            <xm:f>'Clash Matrix Legend'!$A$10</xm:f>
            <x14:dxf>
              <fill>
                <patternFill>
                  <bgColor theme="8" tint="-0.24994659260841701"/>
                </patternFill>
              </fill>
            </x14:dxf>
          </x14:cfRule>
          <x14:cfRule type="cellIs" priority="1504" operator="equal" id="{09A953BB-5297-4849-8F73-AFF603AC5B4F}">
            <xm:f>'Clash Matrix Legend'!#REF!</xm:f>
            <x14:dxf>
              <fill>
                <patternFill>
                  <bgColor theme="8" tint="0.79998168889431442"/>
                </patternFill>
              </fill>
            </x14:dxf>
          </x14:cfRule>
          <x14:cfRule type="cellIs" priority="1531" operator="equal" id="{648FA6DD-1753-402F-B52D-0630BB5EB5B2}">
            <xm:f>'Clash Matrix Legend'!$A$9</xm:f>
            <x14:dxf>
              <fill>
                <patternFill>
                  <bgColor theme="8" tint="0.59996337778862885"/>
                </patternFill>
              </fill>
            </x14:dxf>
          </x14:cfRule>
          <x14:cfRule type="cellIs" priority="1530" operator="equal" id="{B3F3DA5F-1D32-49FD-9F87-BB429115945A}">
            <xm:f>'Clash Matrix Legend'!$A$10</xm:f>
            <x14:dxf>
              <fill>
                <patternFill>
                  <bgColor theme="8" tint="-0.24994659260841701"/>
                </patternFill>
              </fill>
            </x14:dxf>
          </x14:cfRule>
          <x14:cfRule type="cellIs" priority="1498" operator="equal" id="{2CBADE1F-3608-46D4-9C44-75BC732F3C27}">
            <xm:f>'Clash Matrix Legend'!$A$11</xm:f>
            <x14:dxf>
              <fill>
                <patternFill>
                  <bgColor theme="8" tint="-0.499984740745262"/>
                </patternFill>
              </fill>
            </x14:dxf>
          </x14:cfRule>
          <x14:cfRule type="cellIs" priority="1526" operator="equal" id="{6385CDB5-4FAF-4123-9286-973EFE5605AA}">
            <xm:f>'Clash Matrix Legend'!$A$11</xm:f>
            <x14:dxf>
              <fill>
                <patternFill>
                  <bgColor theme="8" tint="-0.499984740745262"/>
                </patternFill>
              </fill>
            </x14:dxf>
          </x14:cfRule>
          <x14:cfRule type="cellIs" priority="1514" operator="equal" id="{5EB23862-6B4C-499A-A883-4016E44895E2}">
            <xm:f>'Clash Matrix Legend'!#REF!</xm:f>
            <x14:dxf>
              <fill>
                <patternFill>
                  <bgColor theme="8" tint="0.79998168889431442"/>
                </patternFill>
              </fill>
            </x14:dxf>
          </x14:cfRule>
          <x14:cfRule type="cellIs" priority="1512" operator="equal" id="{157E9903-3DFD-4CBC-9909-6A2963EB3624}">
            <xm:f>'Clash Matrix Legend'!$A$10</xm:f>
            <x14:dxf>
              <fill>
                <patternFill>
                  <bgColor theme="8" tint="-0.24994659260841701"/>
                </patternFill>
              </fill>
            </x14:dxf>
          </x14:cfRule>
          <x14:cfRule type="cellIs" priority="1513" operator="equal" id="{C3A96CA2-6380-434E-A992-C868E27DC767}">
            <xm:f>'Clash Matrix Legend'!$A$9</xm:f>
            <x14:dxf>
              <fill>
                <patternFill>
                  <bgColor theme="8" tint="0.59996337778862885"/>
                </patternFill>
              </fill>
            </x14:dxf>
          </x14:cfRule>
          <x14:cfRule type="cellIs" priority="1503" operator="equal" id="{2134CBE7-84E7-4F20-9DF0-3B337A36B473}">
            <xm:f>'Clash Matrix Legend'!$A$9</xm:f>
            <x14:dxf>
              <fill>
                <patternFill>
                  <bgColor theme="8" tint="0.59996337778862885"/>
                </patternFill>
              </fill>
            </x14:dxf>
          </x14:cfRule>
          <x14:cfRule type="cellIs" priority="1508" operator="equal" id="{CF53BA3D-FA27-490B-9444-F4B230496651}">
            <xm:f>'Clash Matrix Legend'!$A$11</xm:f>
            <x14:dxf>
              <fill>
                <patternFill>
                  <bgColor theme="8" tint="-0.499984740745262"/>
                </patternFill>
              </fill>
            </x14:dxf>
          </x14:cfRule>
          <x14:cfRule type="cellIs" priority="1532" operator="equal" id="{7DDF93A5-9EFE-48F5-894F-38A358504AB6}">
            <xm:f>'Clash Matrix Legend'!#REF!</xm:f>
            <x14:dxf>
              <fill>
                <patternFill>
                  <bgColor theme="8" tint="0.79998168889431442"/>
                </patternFill>
              </fill>
            </x14:dxf>
          </x14:cfRule>
          <xm:sqref>AL70:AL71</xm:sqref>
        </x14:conditionalFormatting>
        <x14:conditionalFormatting xmlns:xm="http://schemas.microsoft.com/office/excel/2006/main">
          <x14:cfRule type="cellIs" priority="2853" operator="equal" id="{FC7EFEC4-5C47-42BA-BD4A-B24622C45E99}">
            <xm:f>'Clash Matrix Legend'!$A$10</xm:f>
            <x14:dxf>
              <fill>
                <patternFill>
                  <bgColor theme="8" tint="-0.24994659260841701"/>
                </patternFill>
              </fill>
            </x14:dxf>
          </x14:cfRule>
          <x14:cfRule type="cellIs" priority="2854" operator="equal" id="{2307F7BB-8D3B-464A-BB20-960CAEAC7271}">
            <xm:f>'Clash Matrix Legend'!$A$9</xm:f>
            <x14:dxf>
              <fill>
                <patternFill>
                  <bgColor theme="8" tint="0.59996337778862885"/>
                </patternFill>
              </fill>
            </x14:dxf>
          </x14:cfRule>
          <x14:cfRule type="cellIs" priority="2818" operator="equal" id="{5156E5E1-F1F1-4034-9A84-E360BA8C25A2}">
            <xm:f>'Clash Matrix Legend'!$A$9</xm:f>
            <x14:dxf>
              <fill>
                <patternFill>
                  <bgColor theme="8" tint="0.79998168889431442"/>
                </patternFill>
              </fill>
            </x14:dxf>
          </x14:cfRule>
          <x14:cfRule type="cellIs" priority="2817" operator="equal" id="{561C3162-8BC0-48FD-B9E3-5EFB4A2C4A5E}">
            <xm:f>'Clash Matrix Legend'!$A$10</xm:f>
            <x14:dxf>
              <fill>
                <patternFill>
                  <bgColor theme="8" tint="0.59996337778862885"/>
                </patternFill>
              </fill>
            </x14:dxf>
          </x14:cfRule>
          <x14:cfRule type="cellIs" priority="2816" operator="equal" id="{DF8035E6-9A5A-4FA8-BC0F-55540C967A27}">
            <xm:f>'Clash Matrix Legend'!$A$11</xm:f>
            <x14:dxf>
              <fill>
                <patternFill>
                  <bgColor theme="8" tint="-0.24994659260841701"/>
                </patternFill>
              </fill>
            </x14:dxf>
          </x14:cfRule>
          <x14:cfRule type="cellIs" priority="2812" operator="equal" id="{57493CDA-DCE0-4F94-8963-7CFEF3B6A56D}">
            <xm:f>'Clash Matrix Legend'!$A$12</xm:f>
            <x14:dxf>
              <fill>
                <patternFill>
                  <bgColor theme="8" tint="-0.499984740745262"/>
                </patternFill>
              </fill>
            </x14:dxf>
          </x14:cfRule>
          <x14:cfRule type="cellIs" priority="2807" operator="equal" id="{7A5069AA-D3E7-47CF-B1DE-A664ACA3BCDD}">
            <xm:f>'Clash Matrix Legend'!$A$9</xm:f>
            <x14:dxf>
              <fill>
                <patternFill>
                  <bgColor theme="8" tint="0.79998168889431442"/>
                </patternFill>
              </fill>
            </x14:dxf>
          </x14:cfRule>
          <x14:cfRule type="cellIs" priority="2806" operator="equal" id="{A04F031C-393D-438B-8C89-53C974A79079}">
            <xm:f>'Clash Matrix Legend'!$A$10</xm:f>
            <x14:dxf>
              <fill>
                <patternFill>
                  <bgColor theme="8" tint="0.59996337778862885"/>
                </patternFill>
              </fill>
            </x14:dxf>
          </x14:cfRule>
          <x14:cfRule type="cellIs" priority="2805" operator="equal" id="{03460494-7D9D-4F07-9415-04691BD0A4FC}">
            <xm:f>'Clash Matrix Legend'!$A$11</xm:f>
            <x14:dxf>
              <fill>
                <patternFill>
                  <bgColor theme="8" tint="-0.24994659260841701"/>
                </patternFill>
              </fill>
            </x14:dxf>
          </x14:cfRule>
          <x14:cfRule type="cellIs" priority="2801" operator="equal" id="{36C720AF-88F4-49E7-A8C6-DDE20032E691}">
            <xm:f>'Clash Matrix Legend'!$A$12</xm:f>
            <x14:dxf>
              <fill>
                <patternFill>
                  <bgColor theme="8" tint="-0.499984740745262"/>
                </patternFill>
              </fill>
            </x14:dxf>
          </x14:cfRule>
          <x14:cfRule type="cellIs" priority="2799" operator="equal" id="{A92F8B04-6DD1-4090-83C5-A89A739EB912}">
            <xm:f>'Clash Matrix Legend'!$A$9</xm:f>
            <x14:dxf>
              <fill>
                <patternFill>
                  <bgColor theme="8" tint="0.79998168889431442"/>
                </patternFill>
              </fill>
            </x14:dxf>
          </x14:cfRule>
          <x14:cfRule type="cellIs" priority="2798" operator="equal" id="{7C3A7758-5FC4-44EC-8159-3C4FE18DE9A8}">
            <xm:f>'Clash Matrix Legend'!$A$10</xm:f>
            <x14:dxf>
              <fill>
                <patternFill>
                  <bgColor theme="8" tint="0.59996337778862885"/>
                </patternFill>
              </fill>
            </x14:dxf>
          </x14:cfRule>
          <x14:cfRule type="cellIs" priority="2855" operator="equal" id="{649D71BB-592F-4412-86F2-BF0FD7555F30}">
            <xm:f>'Clash Matrix Legend'!#REF!</xm:f>
            <x14:dxf>
              <fill>
                <patternFill>
                  <bgColor theme="8" tint="0.79998168889431442"/>
                </patternFill>
              </fill>
            </x14:dxf>
          </x14:cfRule>
          <x14:cfRule type="cellIs" priority="2797" operator="equal" id="{FBA258E6-A9DA-496D-92AF-F3B8B1A08ECC}">
            <xm:f>'Clash Matrix Legend'!$A$11</xm:f>
            <x14:dxf>
              <fill>
                <patternFill>
                  <bgColor theme="8" tint="-0.24994659260841701"/>
                </patternFill>
              </fill>
            </x14:dxf>
          </x14:cfRule>
          <x14:cfRule type="cellIs" priority="2794" operator="equal" id="{BB1AD57A-9203-40DF-BAE3-FEC1720B33D3}">
            <xm:f>'Clash Matrix Legend'!$A$12</xm:f>
            <x14:dxf>
              <fill>
                <patternFill>
                  <bgColor theme="8" tint="-0.499984740745262"/>
                </patternFill>
              </fill>
            </x14:dxf>
          </x14:cfRule>
          <x14:cfRule type="cellIs" priority="2792" operator="equal" id="{5E2A25C4-C420-4789-991E-168AC8F375E9}">
            <xm:f>'Clash Matrix Legend'!#REF!</xm:f>
            <x14:dxf>
              <fill>
                <patternFill>
                  <bgColor theme="8" tint="0.79998168889431442"/>
                </patternFill>
              </fill>
            </x14:dxf>
          </x14:cfRule>
          <x14:cfRule type="cellIs" priority="2791" operator="equal" id="{507E38EE-FFC1-461D-965E-76F35AF2812D}">
            <xm:f>'Clash Matrix Legend'!$A$9</xm:f>
            <x14:dxf>
              <fill>
                <patternFill>
                  <bgColor theme="8" tint="0.59996337778862885"/>
                </patternFill>
              </fill>
            </x14:dxf>
          </x14:cfRule>
          <x14:cfRule type="cellIs" priority="2790" operator="equal" id="{0404D0B6-9376-43E3-A454-A38188AF1E30}">
            <xm:f>'Clash Matrix Legend'!$A$10</xm:f>
            <x14:dxf>
              <fill>
                <patternFill>
                  <bgColor theme="8" tint="-0.24994659260841701"/>
                </patternFill>
              </fill>
            </x14:dxf>
          </x14:cfRule>
          <x14:cfRule type="cellIs" priority="2858" operator="equal" id="{514259D7-6A94-4217-95F4-D49F75C88BFF}">
            <xm:f>'Clash Matrix Legend'!$A$11</xm:f>
            <x14:dxf>
              <fill>
                <patternFill>
                  <bgColor theme="8" tint="-0.499984740745262"/>
                </patternFill>
              </fill>
            </x14:dxf>
          </x14:cfRule>
          <x14:cfRule type="cellIs" priority="2861" operator="equal" id="{185ADDCE-E72B-4FC7-9B95-1EBABE482989}">
            <xm:f>'Clash Matrix Legend'!$A$10</xm:f>
            <x14:dxf>
              <fill>
                <patternFill>
                  <bgColor theme="8" tint="-0.24994659260841701"/>
                </patternFill>
              </fill>
            </x14:dxf>
          </x14:cfRule>
          <x14:cfRule type="cellIs" priority="2862" operator="equal" id="{56F32D55-53D4-4773-BCA8-FC0783C6DA7C}">
            <xm:f>'Clash Matrix Legend'!$A$9</xm:f>
            <x14:dxf>
              <fill>
                <patternFill>
                  <bgColor theme="8" tint="0.59996337778862885"/>
                </patternFill>
              </fill>
            </x14:dxf>
          </x14:cfRule>
          <x14:cfRule type="cellIs" priority="2863" operator="equal" id="{487480CB-B654-438B-BF64-C79C2059C2E8}">
            <xm:f>'Clash Matrix Legend'!#REF!</xm:f>
            <x14:dxf>
              <fill>
                <patternFill>
                  <bgColor theme="8" tint="0.79998168889431442"/>
                </patternFill>
              </fill>
            </x14:dxf>
          </x14:cfRule>
          <x14:cfRule type="cellIs" priority="2882" operator="equal" id="{BCE470FD-5CD2-41FC-BEB2-5D9889C3A9C2}">
            <xm:f>'Clash Matrix Legend'!#REF!</xm:f>
            <x14:dxf>
              <fill>
                <patternFill>
                  <bgColor theme="8" tint="0.79998168889431442"/>
                </patternFill>
              </fill>
            </x14:dxf>
          </x14:cfRule>
          <x14:cfRule type="cellIs" priority="2881" operator="equal" id="{A0AF240B-4A6E-46C5-889F-90E648854034}">
            <xm:f>'Clash Matrix Legend'!$A$9</xm:f>
            <x14:dxf>
              <fill>
                <patternFill>
                  <bgColor theme="8" tint="0.59996337778862885"/>
                </patternFill>
              </fill>
            </x14:dxf>
          </x14:cfRule>
          <x14:cfRule type="cellIs" priority="2880" operator="equal" id="{A75985B7-09C5-48E8-AC5E-4F58BEF587AE}">
            <xm:f>'Clash Matrix Legend'!$A$10</xm:f>
            <x14:dxf>
              <fill>
                <patternFill>
                  <bgColor theme="8" tint="-0.24994659260841701"/>
                </patternFill>
              </fill>
            </x14:dxf>
          </x14:cfRule>
          <x14:cfRule type="cellIs" priority="2871" operator="equal" id="{51282A51-E7AA-4EF0-8F1A-A5079E3B73FC}">
            <xm:f>'Clash Matrix Legend'!#REF!</xm:f>
            <x14:dxf>
              <fill>
                <patternFill>
                  <bgColor theme="8" tint="0.79998168889431442"/>
                </patternFill>
              </fill>
            </x14:dxf>
          </x14:cfRule>
          <x14:cfRule type="cellIs" priority="2870" operator="equal" id="{8EF77E71-8561-4746-8A90-4985E6FE6F2F}">
            <xm:f>'Clash Matrix Legend'!$A$9</xm:f>
            <x14:dxf>
              <fill>
                <patternFill>
                  <bgColor theme="8" tint="0.59996337778862885"/>
                </patternFill>
              </fill>
            </x14:dxf>
          </x14:cfRule>
          <x14:cfRule type="cellIs" priority="2869" operator="equal" id="{39C8437C-8DD2-4909-9EF1-50F0F2AD2B17}">
            <xm:f>'Clash Matrix Legend'!$A$10</xm:f>
            <x14:dxf>
              <fill>
                <patternFill>
                  <bgColor theme="8" tint="-0.24994659260841701"/>
                </patternFill>
              </fill>
            </x14:dxf>
          </x14:cfRule>
          <x14:cfRule type="cellIs" priority="2865" operator="equal" id="{2F7B535E-C13B-4896-B2B0-27920146EB02}">
            <xm:f>'Clash Matrix Legend'!$A$11</xm:f>
            <x14:dxf>
              <fill>
                <patternFill>
                  <bgColor theme="8" tint="-0.499984740745262"/>
                </patternFill>
              </fill>
            </x14:dxf>
          </x14:cfRule>
          <x14:cfRule type="cellIs" priority="2876" operator="equal" id="{75977A57-7844-46A3-8CC0-29FA0B0E21B3}">
            <xm:f>'Clash Matrix Legend'!$A$11</xm:f>
            <x14:dxf>
              <fill>
                <patternFill>
                  <bgColor theme="8" tint="-0.499984740745262"/>
                </patternFill>
              </fill>
            </x14:dxf>
          </x14:cfRule>
          <x14:cfRule type="cellIs" priority="2849" operator="equal" id="{AD843697-496C-484A-BA71-3BF4B52A0D90}">
            <xm:f>'Clash Matrix Legend'!$A$11</xm:f>
            <x14:dxf>
              <fill>
                <patternFill>
                  <bgColor theme="8" tint="-0.499984740745262"/>
                </patternFill>
              </fill>
            </x14:dxf>
          </x14:cfRule>
          <x14:cfRule type="cellIs" priority="2786" operator="equal" id="{B671AEF4-DB00-4A5E-87F2-FED7AE2EF6BA}">
            <xm:f>'Clash Matrix Legend'!$A$11</xm:f>
            <x14:dxf>
              <fill>
                <patternFill>
                  <bgColor theme="8" tint="-0.499984740745262"/>
                </patternFill>
              </fill>
            </x14:dxf>
          </x14:cfRule>
          <xm:sqref>AL72:AL73</xm:sqref>
        </x14:conditionalFormatting>
        <x14:conditionalFormatting xmlns:xm="http://schemas.microsoft.com/office/excel/2006/main">
          <x14:cfRule type="cellIs" priority="2708" operator="equal" id="{E6812CC7-FED4-426A-B8E2-540134377D45}">
            <xm:f>'Clash Matrix Legend'!$A$10</xm:f>
            <x14:dxf>
              <fill>
                <patternFill>
                  <bgColor theme="8" tint="-0.24994659260841701"/>
                </patternFill>
              </fill>
            </x14:dxf>
          </x14:cfRule>
          <x14:cfRule type="cellIs" priority="2709" operator="equal" id="{2EE9EAF2-CC60-415D-A41E-8FA69B68866C}">
            <xm:f>'Clash Matrix Legend'!$A$9</xm:f>
            <x14:dxf>
              <fill>
                <patternFill>
                  <bgColor theme="8" tint="0.59996337778862885"/>
                </patternFill>
              </fill>
            </x14:dxf>
          </x14:cfRule>
          <x14:cfRule type="cellIs" priority="2711" operator="equal" id="{218DF6C9-8F51-49E4-93EC-A8B1F5F70EB7}">
            <xm:f>'Clash Matrix Legend'!$A$11</xm:f>
            <x14:dxf>
              <fill>
                <patternFill>
                  <bgColor theme="8" tint="-0.499984740745262"/>
                </patternFill>
              </fill>
            </x14:dxf>
          </x14:cfRule>
          <x14:cfRule type="cellIs" priority="2714" operator="equal" id="{FD981763-BBAD-4802-8195-804D04E784E1}">
            <xm:f>'Clash Matrix Legend'!$A$10</xm:f>
            <x14:dxf>
              <fill>
                <patternFill>
                  <bgColor theme="8" tint="-0.24994659260841701"/>
                </patternFill>
              </fill>
            </x14:dxf>
          </x14:cfRule>
          <x14:cfRule type="cellIs" priority="2715" operator="equal" id="{A549F186-2C8D-4AA7-A519-988F64A67B39}">
            <xm:f>'Clash Matrix Legend'!$A$9</xm:f>
            <x14:dxf>
              <fill>
                <patternFill>
                  <bgColor theme="8" tint="0.59996337778862885"/>
                </patternFill>
              </fill>
            </x14:dxf>
          </x14:cfRule>
          <x14:cfRule type="cellIs" priority="2716" operator="equal" id="{3D70EE2C-A3E6-4D87-9511-D39BADCCE1AF}">
            <xm:f>'Clash Matrix Legend'!#REF!</xm:f>
            <x14:dxf>
              <fill>
                <patternFill>
                  <bgColor theme="8" tint="0.79998168889431442"/>
                </patternFill>
              </fill>
            </x14:dxf>
          </x14:cfRule>
          <x14:cfRule type="cellIs" priority="2834" operator="equal" id="{AC426953-C0B7-453B-BECD-97FFA3EB0ED7}">
            <xm:f>'Clash Matrix Legend'!$A$9</xm:f>
            <x14:dxf>
              <fill>
                <patternFill>
                  <bgColor theme="8" tint="0.59996337778862885"/>
                </patternFill>
              </fill>
            </x14:dxf>
          </x14:cfRule>
          <x14:cfRule type="cellIs" priority="2835" operator="equal" id="{D2131D28-C65E-421E-8B57-02ED17B26B09}">
            <xm:f>'Clash Matrix Legend'!#REF!</xm:f>
            <x14:dxf>
              <fill>
                <patternFill>
                  <bgColor theme="8" tint="0.79998168889431442"/>
                </patternFill>
              </fill>
            </x14:dxf>
          </x14:cfRule>
          <x14:cfRule type="cellIs" priority="2836" operator="equal" id="{5B709F83-50BC-4274-AEDD-04574E75A805}">
            <xm:f>'Clash Matrix Legend'!$A$11</xm:f>
            <x14:dxf>
              <fill>
                <patternFill>
                  <bgColor theme="8" tint="-0.499984740745262"/>
                </patternFill>
              </fill>
            </x14:dxf>
          </x14:cfRule>
          <x14:cfRule type="cellIs" priority="2839" operator="equal" id="{F26DF829-C09E-49CD-B95A-17EC94F4A434}">
            <xm:f>'Clash Matrix Legend'!$A$10</xm:f>
            <x14:dxf>
              <fill>
                <patternFill>
                  <bgColor theme="8" tint="-0.24994659260841701"/>
                </patternFill>
              </fill>
            </x14:dxf>
          </x14:cfRule>
          <x14:cfRule type="cellIs" priority="2840" operator="equal" id="{3ED692EF-71EA-4DC9-BD6B-8770EBC1A233}">
            <xm:f>'Clash Matrix Legend'!$A$9</xm:f>
            <x14:dxf>
              <fill>
                <patternFill>
                  <bgColor theme="8" tint="0.59996337778862885"/>
                </patternFill>
              </fill>
            </x14:dxf>
          </x14:cfRule>
          <x14:cfRule type="cellIs" priority="2841" operator="equal" id="{BF3DE06C-CC06-480F-B610-606975DF4388}">
            <xm:f>'Clash Matrix Legend'!#REF!</xm:f>
            <x14:dxf>
              <fill>
                <patternFill>
                  <bgColor theme="8" tint="0.79998168889431442"/>
                </patternFill>
              </fill>
            </x14:dxf>
          </x14:cfRule>
          <x14:cfRule type="cellIs" priority="2842" operator="equal" id="{F44603B9-81F3-4A4B-90EF-A7AF0C29D9B3}">
            <xm:f>'Clash Matrix Legend'!$A$11</xm:f>
            <x14:dxf>
              <fill>
                <patternFill>
                  <bgColor theme="8" tint="-0.499984740745262"/>
                </patternFill>
              </fill>
            </x14:dxf>
          </x14:cfRule>
          <x14:cfRule type="cellIs" priority="2846" operator="equal" id="{BC660CFC-8495-4725-8754-D0E02818CA09}">
            <xm:f>'Clash Matrix Legend'!$A$10</xm:f>
            <x14:dxf>
              <fill>
                <patternFill>
                  <bgColor theme="8" tint="-0.24994659260841701"/>
                </patternFill>
              </fill>
            </x14:dxf>
          </x14:cfRule>
          <x14:cfRule type="cellIs" priority="2847" operator="equal" id="{852940AB-993D-4165-B650-2335399DB776}">
            <xm:f>'Clash Matrix Legend'!$A$9</xm:f>
            <x14:dxf>
              <fill>
                <patternFill>
                  <bgColor theme="8" tint="0.59996337778862885"/>
                </patternFill>
              </fill>
            </x14:dxf>
          </x14:cfRule>
          <x14:cfRule type="cellIs" priority="2848" operator="equal" id="{00D23E69-84EB-4414-8C77-950B5B8407E7}">
            <xm:f>'Clash Matrix Legend'!#REF!</xm:f>
            <x14:dxf>
              <fill>
                <patternFill>
                  <bgColor theme="8" tint="0.79998168889431442"/>
                </patternFill>
              </fill>
            </x14:dxf>
          </x14:cfRule>
          <x14:cfRule type="cellIs" priority="2780" operator="equal" id="{A693DB7B-37A0-4416-B6DB-E01903A19399}">
            <xm:f>'Clash Matrix Legend'!$A$9</xm:f>
            <x14:dxf>
              <fill>
                <patternFill>
                  <bgColor theme="8" tint="0.59996337778862885"/>
                </patternFill>
              </fill>
            </x14:dxf>
          </x14:cfRule>
          <x14:cfRule type="cellIs" priority="2634" operator="equal" id="{DACAA948-88AB-4AD2-900E-B931C11770E0}">
            <xm:f>'Clash Matrix Legend'!#REF!</xm:f>
            <x14:dxf>
              <fill>
                <patternFill>
                  <bgColor theme="8" tint="0.79998168889431442"/>
                </patternFill>
              </fill>
            </x14:dxf>
          </x14:cfRule>
          <x14:cfRule type="cellIs" priority="2782" operator="equal" id="{F915D7B0-6318-4444-831F-78B0042D4C6D}">
            <xm:f>'Clash Matrix Legend'!$A$11</xm:f>
            <x14:dxf>
              <fill>
                <patternFill>
                  <bgColor theme="8" tint="-0.499984740745262"/>
                </patternFill>
              </fill>
            </x14:dxf>
          </x14:cfRule>
          <x14:cfRule type="cellIs" priority="2781" operator="equal" id="{CEC6301C-4252-4DD7-89E0-965D7A43784D}">
            <xm:f>'Clash Matrix Legend'!#REF!</xm:f>
            <x14:dxf>
              <fill>
                <patternFill>
                  <bgColor theme="8" tint="0.79998168889431442"/>
                </patternFill>
              </fill>
            </x14:dxf>
          </x14:cfRule>
          <x14:cfRule type="cellIs" priority="2779" operator="equal" id="{B26CBBE6-4D1F-4C6A-8268-B7BF04614EDB}">
            <xm:f>'Clash Matrix Legend'!$A$10</xm:f>
            <x14:dxf>
              <fill>
                <patternFill>
                  <bgColor theme="8" tint="-0.24994659260841701"/>
                </patternFill>
              </fill>
            </x14:dxf>
          </x14:cfRule>
          <x14:cfRule type="cellIs" priority="2776" operator="equal" id="{8940DE5A-606D-452F-88CF-C1FC862E8A23}">
            <xm:f>'Clash Matrix Legend'!$A$11</xm:f>
            <x14:dxf>
              <fill>
                <patternFill>
                  <bgColor theme="8" tint="-0.499984740745262"/>
                </patternFill>
              </fill>
            </x14:dxf>
          </x14:cfRule>
          <x14:cfRule type="cellIs" priority="2775" operator="equal" id="{8C6E0C53-9A7A-4994-83D2-D26C005680AE}">
            <xm:f>'Clash Matrix Legend'!#REF!</xm:f>
            <x14:dxf>
              <fill>
                <patternFill>
                  <bgColor theme="8" tint="0.79998168889431442"/>
                </patternFill>
              </fill>
            </x14:dxf>
          </x14:cfRule>
          <x14:cfRule type="cellIs" priority="2774" operator="equal" id="{C3C5D79A-BF95-4926-ACF7-34EAD0A5D16A}">
            <xm:f>'Clash Matrix Legend'!$A$9</xm:f>
            <x14:dxf>
              <fill>
                <patternFill>
                  <bgColor theme="8" tint="0.59996337778862885"/>
                </patternFill>
              </fill>
            </x14:dxf>
          </x14:cfRule>
          <x14:cfRule type="cellIs" priority="2773" operator="equal" id="{47018421-932D-45A0-BA04-1C66CBC48152}">
            <xm:f>'Clash Matrix Legend'!$A$10</xm:f>
            <x14:dxf>
              <fill>
                <patternFill>
                  <bgColor theme="8" tint="-0.24994659260841701"/>
                </patternFill>
              </fill>
            </x14:dxf>
          </x14:cfRule>
          <x14:cfRule type="cellIs" priority="2770" operator="equal" id="{E7002E54-2A7C-4EE3-ACCB-E3F079D1B457}">
            <xm:f>'Clash Matrix Legend'!$A$11</xm:f>
            <x14:dxf>
              <fill>
                <patternFill>
                  <bgColor theme="8" tint="-0.499984740745262"/>
                </patternFill>
              </fill>
            </x14:dxf>
          </x14:cfRule>
          <x14:cfRule type="cellIs" priority="2759" operator="equal" id="{B45B0D17-70F7-40E0-A18B-9519FEE69FE2}">
            <xm:f>'Clash Matrix Legend'!#REF!</xm:f>
            <x14:dxf>
              <fill>
                <patternFill>
                  <bgColor theme="8" tint="0.79998168889431442"/>
                </patternFill>
              </fill>
            </x14:dxf>
          </x14:cfRule>
          <x14:cfRule type="cellIs" priority="2758" operator="equal" id="{FF36AADF-BDAE-486E-BD8D-8735DCA45DF3}">
            <xm:f>'Clash Matrix Legend'!$A$9</xm:f>
            <x14:dxf>
              <fill>
                <patternFill>
                  <bgColor theme="8" tint="0.59996337778862885"/>
                </patternFill>
              </fill>
            </x14:dxf>
          </x14:cfRule>
          <x14:cfRule type="cellIs" priority="2757" operator="equal" id="{C606F4B0-B2E7-4190-BF12-2AF55DD0F66C}">
            <xm:f>'Clash Matrix Legend'!$A$10</xm:f>
            <x14:dxf>
              <fill>
                <patternFill>
                  <bgColor theme="8" tint="-0.24994659260841701"/>
                </patternFill>
              </fill>
            </x14:dxf>
          </x14:cfRule>
          <x14:cfRule type="cellIs" priority="2753" operator="equal" id="{9CD7EEE0-0593-45D2-AB9A-C08D22976A7A}">
            <xm:f>'Clash Matrix Legend'!$A$11</xm:f>
            <x14:dxf>
              <fill>
                <patternFill>
                  <bgColor theme="8" tint="-0.499984740745262"/>
                </patternFill>
              </fill>
            </x14:dxf>
          </x14:cfRule>
          <x14:cfRule type="cellIs" priority="2749" operator="equal" id="{4D63600C-E5D6-494B-AB1B-01F41FC274BC}">
            <xm:f>'Clash Matrix Legend'!#REF!</xm:f>
            <x14:dxf>
              <fill>
                <patternFill>
                  <bgColor theme="8" tint="0.79998168889431442"/>
                </patternFill>
              </fill>
            </x14:dxf>
          </x14:cfRule>
          <x14:cfRule type="cellIs" priority="2748" operator="equal" id="{4A31400B-B4DB-4669-8D82-9A81E6E6CA8C}">
            <xm:f>'Clash Matrix Legend'!$A$9</xm:f>
            <x14:dxf>
              <fill>
                <patternFill>
                  <bgColor theme="8" tint="0.59996337778862885"/>
                </patternFill>
              </fill>
            </x14:dxf>
          </x14:cfRule>
          <x14:cfRule type="cellIs" priority="2747" operator="equal" id="{6C9407D0-E5D5-42EA-A078-E2CE595892D7}">
            <xm:f>'Clash Matrix Legend'!$A$10</xm:f>
            <x14:dxf>
              <fill>
                <patternFill>
                  <bgColor theme="8" tint="-0.24994659260841701"/>
                </patternFill>
              </fill>
            </x14:dxf>
          </x14:cfRule>
          <x14:cfRule type="cellIs" priority="2830" operator="equal" id="{B667752B-578D-4EB6-A1E7-DB3860016174}">
            <xm:f>'Clash Matrix Legend'!$A$11</xm:f>
            <x14:dxf>
              <fill>
                <patternFill>
                  <bgColor theme="8" tint="-0.499984740745262"/>
                </patternFill>
              </fill>
            </x14:dxf>
          </x14:cfRule>
          <x14:cfRule type="cellIs" priority="2833" operator="equal" id="{78719B37-8C09-45C6-A8F3-545B8D5CA1F3}">
            <xm:f>'Clash Matrix Legend'!$A$10</xm:f>
            <x14:dxf>
              <fill>
                <patternFill>
                  <bgColor theme="8" tint="-0.24994659260841701"/>
                </patternFill>
              </fill>
            </x14:dxf>
          </x14:cfRule>
          <x14:cfRule type="cellIs" priority="2629" operator="equal" id="{8C82ABBA-01DC-4ECA-9FF5-3B8ED2E8C5A7}">
            <xm:f>'Clash Matrix Legend'!$A$11</xm:f>
            <x14:dxf>
              <fill>
                <patternFill>
                  <bgColor theme="8" tint="-0.499984740745262"/>
                </patternFill>
              </fill>
            </x14:dxf>
          </x14:cfRule>
          <x14:cfRule type="cellIs" priority="2632" operator="equal" id="{25E18ED0-62D6-4E6D-A0AD-345E81F0AB8D}">
            <xm:f>'Clash Matrix Legend'!$A$10</xm:f>
            <x14:dxf>
              <fill>
                <patternFill>
                  <bgColor theme="8" tint="-0.24994659260841701"/>
                </patternFill>
              </fill>
            </x14:dxf>
          </x14:cfRule>
          <x14:cfRule type="cellIs" priority="2633" operator="equal" id="{FE3E7A4B-A457-4FE1-81D0-6AC34FD3DB32}">
            <xm:f>'Clash Matrix Legend'!$A$9</xm:f>
            <x14:dxf>
              <fill>
                <patternFill>
                  <bgColor theme="8" tint="0.59996337778862885"/>
                </patternFill>
              </fill>
            </x14:dxf>
          </x14:cfRule>
          <x14:cfRule type="cellIs" priority="2637" operator="equal" id="{7B105EAD-18BB-4CF2-9018-DF34073ADF1E}">
            <xm:f>'Clash Matrix Legend'!$A$11</xm:f>
            <x14:dxf>
              <fill>
                <patternFill>
                  <bgColor theme="8" tint="-0.499984740745262"/>
                </patternFill>
              </fill>
            </x14:dxf>
          </x14:cfRule>
          <x14:cfRule type="cellIs" priority="2641" operator="equal" id="{1EB194A7-9D4E-42B8-9648-B05DDD660ECA}">
            <xm:f>'Clash Matrix Legend'!$A$11</xm:f>
            <x14:dxf>
              <fill>
                <patternFill>
                  <bgColor theme="8" tint="-0.499984740745262"/>
                </patternFill>
              </fill>
            </x14:dxf>
          </x14:cfRule>
          <x14:cfRule type="cellIs" priority="2645" operator="equal" id="{C5ED0571-3407-457C-8D88-F6AF7991FD72}">
            <xm:f>'Clash Matrix Legend'!$A$10</xm:f>
            <x14:dxf>
              <fill>
                <patternFill>
                  <bgColor theme="8" tint="-0.24994659260841701"/>
                </patternFill>
              </fill>
            </x14:dxf>
          </x14:cfRule>
          <x14:cfRule type="cellIs" priority="2646" operator="equal" id="{0D6199ED-DBCE-4350-B4CE-8066772F9FB3}">
            <xm:f>'Clash Matrix Legend'!$A$9</xm:f>
            <x14:dxf>
              <fill>
                <patternFill>
                  <bgColor theme="8" tint="0.59996337778862885"/>
                </patternFill>
              </fill>
            </x14:dxf>
          </x14:cfRule>
          <x14:cfRule type="cellIs" priority="2647" operator="equal" id="{E1284E11-E22F-4AC5-8B8A-75DF2F8FDF03}">
            <xm:f>'Clash Matrix Legend'!#REF!</xm:f>
            <x14:dxf>
              <fill>
                <patternFill>
                  <bgColor theme="8" tint="0.79998168889431442"/>
                </patternFill>
              </fill>
            </x14:dxf>
          </x14:cfRule>
          <x14:cfRule type="cellIs" priority="2738" operator="equal" id="{AD9B93C6-EF03-4F6E-8FE4-865BCF73E279}">
            <xm:f>'Clash Matrix Legend'!#REF!</xm:f>
            <x14:dxf>
              <fill>
                <patternFill>
                  <bgColor theme="8" tint="0.79998168889431442"/>
                </patternFill>
              </fill>
            </x14:dxf>
          </x14:cfRule>
          <x14:cfRule type="cellIs" priority="2743" operator="equal" id="{CDEBF61D-1E7C-430D-A090-F9743897BF49}">
            <xm:f>'Clash Matrix Legend'!$A$11</xm:f>
            <x14:dxf>
              <fill>
                <patternFill>
                  <bgColor theme="8" tint="-0.499984740745262"/>
                </patternFill>
              </fill>
            </x14:dxf>
          </x14:cfRule>
          <x14:cfRule type="cellIs" priority="2737" operator="equal" id="{44A11436-16F6-41C1-BA28-5AD7394ECF60}">
            <xm:f>'Clash Matrix Legend'!$A$9</xm:f>
            <x14:dxf>
              <fill>
                <patternFill>
                  <bgColor theme="8" tint="0.59996337778862885"/>
                </patternFill>
              </fill>
            </x14:dxf>
          </x14:cfRule>
          <x14:cfRule type="cellIs" priority="2736" operator="equal" id="{779403FA-3442-4BFC-8A48-42A38F2B283A}">
            <xm:f>'Clash Matrix Legend'!$A$10</xm:f>
            <x14:dxf>
              <fill>
                <patternFill>
                  <bgColor theme="8" tint="-0.24994659260841701"/>
                </patternFill>
              </fill>
            </x14:dxf>
          </x14:cfRule>
          <x14:cfRule type="cellIs" priority="2733" operator="equal" id="{65860297-17CD-4298-BEE6-474A39D5D03D}">
            <xm:f>'Clash Matrix Legend'!$A$11</xm:f>
            <x14:dxf>
              <fill>
                <patternFill>
                  <bgColor theme="8" tint="-0.499984740745262"/>
                </patternFill>
              </fill>
            </x14:dxf>
          </x14:cfRule>
          <x14:cfRule type="cellIs" priority="2731" operator="equal" id="{88728390-6D08-4CD5-9F10-3C6C0A6047E7}">
            <xm:f>'Clash Matrix Legend'!#REF!</xm:f>
            <x14:dxf>
              <fill>
                <patternFill>
                  <bgColor theme="8" tint="0.79998168889431442"/>
                </patternFill>
              </fill>
            </x14:dxf>
          </x14:cfRule>
          <x14:cfRule type="cellIs" priority="2730" operator="equal" id="{FEBDD1D7-C680-43D5-9709-71CB306D7796}">
            <xm:f>'Clash Matrix Legend'!$A$9</xm:f>
            <x14:dxf>
              <fill>
                <patternFill>
                  <bgColor theme="8" tint="0.59996337778862885"/>
                </patternFill>
              </fill>
            </x14:dxf>
          </x14:cfRule>
          <x14:cfRule type="cellIs" priority="2729" operator="equal" id="{E268633A-7C8E-48E4-81EB-F77CE4152084}">
            <xm:f>'Clash Matrix Legend'!$A$10</xm:f>
            <x14:dxf>
              <fill>
                <patternFill>
                  <bgColor theme="8" tint="-0.24994659260841701"/>
                </patternFill>
              </fill>
            </x14:dxf>
          </x14:cfRule>
          <x14:cfRule type="cellIs" priority="2650" operator="equal" id="{CF9FC574-85ED-49CE-A6FB-1C288B9402E1}">
            <xm:f>'Clash Matrix Legend'!$A$10</xm:f>
            <x14:dxf>
              <fill>
                <patternFill>
                  <bgColor theme="8" tint="-0.24994659260841701"/>
                </patternFill>
              </fill>
            </x14:dxf>
          </x14:cfRule>
          <x14:cfRule type="cellIs" priority="2725" operator="equal" id="{0E61A4C2-B334-499B-9E65-A4882068204F}">
            <xm:f>'Clash Matrix Legend'!$A$11</xm:f>
            <x14:dxf>
              <fill>
                <patternFill>
                  <bgColor theme="8" tint="-0.499984740745262"/>
                </patternFill>
              </fill>
            </x14:dxf>
          </x14:cfRule>
          <x14:cfRule type="cellIs" priority="2723" operator="equal" id="{D742E762-5D55-4CA9-B54B-8DEB32719A7D}">
            <xm:f>'Clash Matrix Legend'!#REF!</xm:f>
            <x14:dxf>
              <fill>
                <patternFill>
                  <bgColor theme="8" tint="0.79998168889431442"/>
                </patternFill>
              </fill>
            </x14:dxf>
          </x14:cfRule>
          <x14:cfRule type="cellIs" priority="2722" operator="equal" id="{2D9FF805-997E-43A4-91F2-84DCE4765331}">
            <xm:f>'Clash Matrix Legend'!$A$9</xm:f>
            <x14:dxf>
              <fill>
                <patternFill>
                  <bgColor theme="8" tint="0.59996337778862885"/>
                </patternFill>
              </fill>
            </x14:dxf>
          </x14:cfRule>
          <x14:cfRule type="cellIs" priority="2721" operator="equal" id="{84BCCD60-30BB-4A78-8383-D72E9F13423C}">
            <xm:f>'Clash Matrix Legend'!$A$10</xm:f>
            <x14:dxf>
              <fill>
                <patternFill>
                  <bgColor theme="8" tint="-0.24994659260841701"/>
                </patternFill>
              </fill>
            </x14:dxf>
          </x14:cfRule>
          <x14:cfRule type="cellIs" priority="2651" operator="equal" id="{6A9EA23B-833F-4453-BA90-8DD9BDDDDA37}">
            <xm:f>'Clash Matrix Legend'!$A$9</xm:f>
            <x14:dxf>
              <fill>
                <patternFill>
                  <bgColor theme="8" tint="0.59996337778862885"/>
                </patternFill>
              </fill>
            </x14:dxf>
          </x14:cfRule>
          <x14:cfRule type="cellIs" priority="2652" operator="equal" id="{E8BB1DFB-7C01-41A2-BDBF-0DF78B050259}">
            <xm:f>'Clash Matrix Legend'!#REF!</xm:f>
            <x14:dxf>
              <fill>
                <patternFill>
                  <bgColor theme="8" tint="0.79998168889431442"/>
                </patternFill>
              </fill>
            </x14:dxf>
          </x14:cfRule>
          <x14:cfRule type="cellIs" priority="2717" operator="equal" id="{079BBACF-7671-49E3-8402-FD0C1EE4A014}">
            <xm:f>'Clash Matrix Legend'!$A$11</xm:f>
            <x14:dxf>
              <fill>
                <patternFill>
                  <bgColor theme="8" tint="-0.499984740745262"/>
                </patternFill>
              </fill>
            </x14:dxf>
          </x14:cfRule>
          <x14:cfRule type="cellIs" priority="2710" operator="equal" id="{87818D7D-9EF4-4EEE-B578-67A32DAEAD91}">
            <xm:f>'Clash Matrix Legend'!#REF!</xm:f>
            <x14:dxf>
              <fill>
                <patternFill>
                  <bgColor theme="8" tint="0.79998168889431442"/>
                </patternFill>
              </fill>
            </x14:dxf>
          </x14:cfRule>
          <x14:cfRule type="cellIs" priority="2666" operator="equal" id="{80EB9132-72CE-4417-B1DF-4F4ADC9C376C}">
            <xm:f>'Clash Matrix Legend'!$A$11</xm:f>
            <x14:dxf>
              <fill>
                <patternFill>
                  <bgColor theme="8" tint="-0.499984740745262"/>
                </patternFill>
              </fill>
            </x14:dxf>
          </x14:cfRule>
          <x14:cfRule type="cellIs" priority="2670" operator="equal" id="{EAF1B5AF-199A-462E-AB78-0CB4200B44B9}">
            <xm:f>'Clash Matrix Legend'!$A$10</xm:f>
            <x14:dxf>
              <fill>
                <patternFill>
                  <bgColor theme="8" tint="-0.24994659260841701"/>
                </patternFill>
              </fill>
            </x14:dxf>
          </x14:cfRule>
          <x14:cfRule type="cellIs" priority="2671" operator="equal" id="{1A102D9A-051C-43E9-99A9-291992403360}">
            <xm:f>'Clash Matrix Legend'!$A$9</xm:f>
            <x14:dxf>
              <fill>
                <patternFill>
                  <bgColor theme="8" tint="0.59996337778862885"/>
                </patternFill>
              </fill>
            </x14:dxf>
          </x14:cfRule>
          <x14:cfRule type="cellIs" priority="2672" operator="equal" id="{E6DF27AC-3B60-44A9-B5E9-F29E35038FEF}">
            <xm:f>'Clash Matrix Legend'!#REF!</xm:f>
            <x14:dxf>
              <fill>
                <patternFill>
                  <bgColor theme="8" tint="0.79998168889431442"/>
                </patternFill>
              </fill>
            </x14:dxf>
          </x14:cfRule>
          <x14:cfRule type="cellIs" priority="2676" operator="equal" id="{725A61D7-2D28-41D5-9B98-001083FEB5F1}">
            <xm:f>'Clash Matrix Legend'!$A$10</xm:f>
            <x14:dxf>
              <fill>
                <patternFill>
                  <bgColor theme="8" tint="-0.24994659260841701"/>
                </patternFill>
              </fill>
            </x14:dxf>
          </x14:cfRule>
          <x14:cfRule type="cellIs" priority="2677" operator="equal" id="{4AF922A2-7552-476B-87D9-ADB22D6E61F8}">
            <xm:f>'Clash Matrix Legend'!$A$9</xm:f>
            <x14:dxf>
              <fill>
                <patternFill>
                  <bgColor theme="8" tint="0.59996337778862885"/>
                </patternFill>
              </fill>
            </x14:dxf>
          </x14:cfRule>
          <x14:cfRule type="cellIs" priority="2678" operator="equal" id="{B3F239C6-955B-4CC6-A982-168B4A239707}">
            <xm:f>'Clash Matrix Legend'!#REF!</xm:f>
            <x14:dxf>
              <fill>
                <patternFill>
                  <bgColor theme="8" tint="0.79998168889431442"/>
                </patternFill>
              </fill>
            </x14:dxf>
          </x14:cfRule>
          <x14:cfRule type="cellIs" priority="2679" operator="equal" id="{DAB47CE7-3AD6-4CBF-A085-960B4C02A341}">
            <xm:f>'Clash Matrix Legend'!$A$11</xm:f>
            <x14:dxf>
              <fill>
                <patternFill>
                  <bgColor theme="8" tint="-0.499984740745262"/>
                </patternFill>
              </fill>
            </x14:dxf>
          </x14:cfRule>
          <x14:cfRule type="cellIs" priority="2683" operator="equal" id="{7354D4BB-B716-4EB2-A68D-9000F7402DF7}">
            <xm:f>'Clash Matrix Legend'!$A$10</xm:f>
            <x14:dxf>
              <fill>
                <patternFill>
                  <bgColor theme="8" tint="-0.24994659260841701"/>
                </patternFill>
              </fill>
            </x14:dxf>
          </x14:cfRule>
          <x14:cfRule type="cellIs" priority="2684" operator="equal" id="{F501AA7E-4C07-4E4D-93B5-F33809B2AA56}">
            <xm:f>'Clash Matrix Legend'!$A$9</xm:f>
            <x14:dxf>
              <fill>
                <patternFill>
                  <bgColor theme="8" tint="0.59996337778862885"/>
                </patternFill>
              </fill>
            </x14:dxf>
          </x14:cfRule>
          <x14:cfRule type="cellIs" priority="2685" operator="equal" id="{FEBFF771-3FBD-4667-A074-8450852E11E4}">
            <xm:f>'Clash Matrix Legend'!#REF!</xm:f>
            <x14:dxf>
              <fill>
                <patternFill>
                  <bgColor theme="8" tint="0.79998168889431442"/>
                </patternFill>
              </fill>
            </x14:dxf>
          </x14:cfRule>
          <x14:cfRule type="cellIs" priority="2690" operator="equal" id="{13537997-F983-48F5-B53C-A7EC4623C998}">
            <xm:f>'Clash Matrix Legend'!$A$11</xm:f>
            <x14:dxf>
              <fill>
                <patternFill>
                  <bgColor theme="8" tint="-0.499984740745262"/>
                </patternFill>
              </fill>
            </x14:dxf>
          </x14:cfRule>
          <x14:cfRule type="cellIs" priority="2694" operator="equal" id="{381A8C44-716F-49C5-A703-4F0FC6DD4852}">
            <xm:f>'Clash Matrix Legend'!$A$10</xm:f>
            <x14:dxf>
              <fill>
                <patternFill>
                  <bgColor theme="8" tint="-0.24994659260841701"/>
                </patternFill>
              </fill>
            </x14:dxf>
          </x14:cfRule>
          <x14:cfRule type="cellIs" priority="2695" operator="equal" id="{0FD8A892-D57A-4BE9-AE5C-7163914D68ED}">
            <xm:f>'Clash Matrix Legend'!$A$9</xm:f>
            <x14:dxf>
              <fill>
                <patternFill>
                  <bgColor theme="8" tint="0.59996337778862885"/>
                </patternFill>
              </fill>
            </x14:dxf>
          </x14:cfRule>
          <x14:cfRule type="cellIs" priority="2696" operator="equal" id="{D557253C-C18A-492E-ABC5-5E138BC1CA4D}">
            <xm:f>'Clash Matrix Legend'!#REF!</xm:f>
            <x14:dxf>
              <fill>
                <patternFill>
                  <bgColor theme="8" tint="0.79998168889431442"/>
                </patternFill>
              </fill>
            </x14:dxf>
          </x14:cfRule>
          <xm:sqref>AL73</xm:sqref>
        </x14:conditionalFormatting>
        <x14:conditionalFormatting xmlns:xm="http://schemas.microsoft.com/office/excel/2006/main">
          <x14:cfRule type="cellIs" priority="2197" operator="equal" id="{1A5EED6C-F59F-41AB-BC03-C22EF20CD3AF}">
            <xm:f>'Clash Matrix Legend'!$A$10</xm:f>
            <x14:dxf>
              <fill>
                <patternFill>
                  <bgColor theme="8" tint="-0.24994659260841701"/>
                </patternFill>
              </fill>
            </x14:dxf>
          </x14:cfRule>
          <x14:cfRule type="cellIs" priority="2198" operator="equal" id="{0B3508EA-CB29-42D9-8960-403B2A8A17DC}">
            <xm:f>'Clash Matrix Legend'!$A$9</xm:f>
            <x14:dxf>
              <fill>
                <patternFill>
                  <bgColor theme="8" tint="0.59996337778862885"/>
                </patternFill>
              </fill>
            </x14:dxf>
          </x14:cfRule>
          <x14:cfRule type="cellIs" priority="2199" operator="equal" id="{C07F4C78-9D5D-493E-B635-D137E6FE3CC7}">
            <xm:f>'Clash Matrix Legend'!#REF!</xm:f>
            <x14:dxf>
              <fill>
                <patternFill>
                  <bgColor theme="8" tint="0.79998168889431442"/>
                </patternFill>
              </fill>
            </x14:dxf>
          </x14:cfRule>
          <x14:cfRule type="cellIs" priority="2194" operator="equal" id="{801EE3F9-F866-4ADB-8654-023C04474808}">
            <xm:f>'Clash Matrix Legend'!$A$11</xm:f>
            <x14:dxf>
              <fill>
                <patternFill>
                  <bgColor theme="8" tint="-0.499984740745262"/>
                </patternFill>
              </fill>
            </x14:dxf>
          </x14:cfRule>
          <xm:sqref>AL13:AM13</xm:sqref>
        </x14:conditionalFormatting>
        <x14:conditionalFormatting xmlns:xm="http://schemas.microsoft.com/office/excel/2006/main">
          <x14:cfRule type="cellIs" priority="8173" operator="equal" id="{EC07567F-936B-4A1C-9CA9-B81549A17480}">
            <xm:f>'Clash Matrix Legend'!$A$9</xm:f>
            <x14:dxf>
              <fill>
                <patternFill>
                  <bgColor theme="8" tint="0.59996337778862885"/>
                </patternFill>
              </fill>
            </x14:dxf>
          </x14:cfRule>
          <x14:cfRule type="cellIs" priority="8174" operator="equal" id="{E0AA69D5-DE34-4D5D-BD2C-E8214DBC8ADD}">
            <xm:f>'Clash Matrix Legend'!#REF!</xm:f>
            <x14:dxf>
              <fill>
                <patternFill>
                  <bgColor theme="8" tint="0.79998168889431442"/>
                </patternFill>
              </fill>
            </x14:dxf>
          </x14:cfRule>
          <x14:cfRule type="cellIs" priority="8162" operator="equal" id="{8B7D42A3-6E09-45BB-986F-5DFAEB55A2DC}">
            <xm:f>'Clash Matrix Legend'!#REF!</xm:f>
            <x14:dxf>
              <fill>
                <patternFill>
                  <bgColor theme="8" tint="0.79998168889431442"/>
                </patternFill>
              </fill>
            </x14:dxf>
          </x14:cfRule>
          <x14:cfRule type="cellIs" priority="8161" operator="equal" id="{9E476B44-2952-409A-807B-1D3BB26EBEF8}">
            <xm:f>'Clash Matrix Legend'!$A$9</xm:f>
            <x14:dxf>
              <fill>
                <patternFill>
                  <bgColor theme="8" tint="0.59996337778862885"/>
                </patternFill>
              </fill>
            </x14:dxf>
          </x14:cfRule>
          <x14:cfRule type="cellIs" priority="8156" operator="equal" id="{B8F7E40D-9D5A-42AA-BEBB-006DEA0E24F5}">
            <xm:f>'Clash Matrix Legend'!$A$11</xm:f>
            <x14:dxf>
              <fill>
                <patternFill>
                  <bgColor theme="8" tint="-0.499984740745262"/>
                </patternFill>
              </fill>
            </x14:dxf>
          </x14:cfRule>
          <x14:cfRule type="cellIs" priority="8154" operator="equal" id="{D3AF9DEA-2FC8-400B-B44A-40B7609678E9}">
            <xm:f>'Clash Matrix Legend'!#REF!</xm:f>
            <x14:dxf>
              <fill>
                <patternFill>
                  <bgColor theme="8" tint="0.79998168889431442"/>
                </patternFill>
              </fill>
            </x14:dxf>
          </x14:cfRule>
          <x14:cfRule type="cellIs" priority="8153" operator="equal" id="{190C93FC-7B09-48F9-8E4E-0B770943A338}">
            <xm:f>'Clash Matrix Legend'!$A$9</xm:f>
            <x14:dxf>
              <fill>
                <patternFill>
                  <bgColor theme="8" tint="0.59996337778862885"/>
                </patternFill>
              </fill>
            </x14:dxf>
          </x14:cfRule>
          <x14:cfRule type="cellIs" priority="8152" operator="equal" id="{9E15CA55-C046-434F-B05D-C1DE575D4F4D}">
            <xm:f>'Clash Matrix Legend'!$A$10</xm:f>
            <x14:dxf>
              <fill>
                <patternFill>
                  <bgColor theme="8" tint="-0.24994659260841701"/>
                </patternFill>
              </fill>
            </x14:dxf>
          </x14:cfRule>
          <x14:cfRule type="cellIs" priority="8160" operator="equal" id="{38195286-7F62-47A4-849D-B76EB5DAC825}">
            <xm:f>'Clash Matrix Legend'!$A$10</xm:f>
            <x14:dxf>
              <fill>
                <patternFill>
                  <bgColor theme="8" tint="-0.24994659260841701"/>
                </patternFill>
              </fill>
            </x14:dxf>
          </x14:cfRule>
          <x14:cfRule type="cellIs" priority="4158" operator="equal" id="{BECA5950-0F73-4848-855B-248F3E1133CE}">
            <xm:f>'Clash Matrix Legend'!$A$12</xm:f>
            <x14:dxf>
              <fill>
                <patternFill>
                  <bgColor theme="8" tint="-0.499984740745262"/>
                </patternFill>
              </fill>
            </x14:dxf>
          </x14:cfRule>
          <x14:cfRule type="cellIs" priority="8149" operator="equal" id="{E13D2C7E-8478-42CC-B47A-32CF0286BA23}">
            <xm:f>'Clash Matrix Legend'!$A$11</xm:f>
            <x14:dxf>
              <fill>
                <patternFill>
                  <bgColor theme="8" tint="-0.499984740745262"/>
                </patternFill>
              </fill>
            </x14:dxf>
          </x14:cfRule>
          <x14:cfRule type="cellIs" priority="4162" operator="equal" id="{159C5DC3-4672-43AF-8E5C-78F4962156E8}">
            <xm:f>'Clash Matrix Legend'!$A$11</xm:f>
            <x14:dxf>
              <fill>
                <patternFill>
                  <bgColor theme="8" tint="-0.24994659260841701"/>
                </patternFill>
              </fill>
            </x14:dxf>
          </x14:cfRule>
          <x14:cfRule type="cellIs" priority="4163" operator="equal" id="{EC07567F-936B-4A1C-9CA9-B81549A17480}">
            <xm:f>'Clash Matrix Legend'!$A$10</xm:f>
            <x14:dxf>
              <fill>
                <patternFill>
                  <bgColor theme="8" tint="0.59996337778862885"/>
                </patternFill>
              </fill>
            </x14:dxf>
          </x14:cfRule>
          <x14:cfRule type="cellIs" priority="4164" operator="equal" id="{E0AA69D5-DE34-4D5D-BD2C-E8214DBC8ADD}">
            <xm:f>'Clash Matrix Legend'!$A$9</xm:f>
            <x14:dxf>
              <fill>
                <patternFill>
                  <bgColor theme="8" tint="0.79998168889431442"/>
                </patternFill>
              </fill>
            </x14:dxf>
          </x14:cfRule>
          <x14:cfRule type="cellIs" priority="8168" operator="equal" id="{BECA5950-0F73-4848-855B-248F3E1133CE}">
            <xm:f>'Clash Matrix Legend'!$A$11</xm:f>
            <x14:dxf>
              <fill>
                <patternFill>
                  <bgColor theme="8" tint="-0.499984740745262"/>
                </patternFill>
              </fill>
            </x14:dxf>
          </x14:cfRule>
          <x14:cfRule type="cellIs" priority="8172" operator="equal" id="{159C5DC3-4672-43AF-8E5C-78F4962156E8}">
            <xm:f>'Clash Matrix Legend'!$A$10</xm:f>
            <x14:dxf>
              <fill>
                <patternFill>
                  <bgColor theme="8" tint="-0.24994659260841701"/>
                </patternFill>
              </fill>
            </x14:dxf>
          </x14:cfRule>
          <x14:cfRule type="cellIs" priority="3616" operator="equal" id="{E13D2C7E-8478-42CC-B47A-32CF0286BA23}">
            <xm:f>'Clash Matrix Legend'!$A$12</xm:f>
            <x14:dxf>
              <fill>
                <patternFill>
                  <bgColor theme="8" tint="-0.499984740745262"/>
                </patternFill>
              </fill>
            </x14:dxf>
          </x14:cfRule>
          <x14:cfRule type="cellIs" priority="3620" operator="equal" id="{9E15CA55-C046-434F-B05D-C1DE575D4F4D}">
            <xm:f>'Clash Matrix Legend'!$A$11</xm:f>
            <x14:dxf>
              <fill>
                <patternFill>
                  <bgColor theme="8" tint="-0.24994659260841701"/>
                </patternFill>
              </fill>
            </x14:dxf>
          </x14:cfRule>
          <x14:cfRule type="cellIs" priority="3621" operator="equal" id="{190C93FC-7B09-48F9-8E4E-0B770943A338}">
            <xm:f>'Clash Matrix Legend'!$A$10</xm:f>
            <x14:dxf>
              <fill>
                <patternFill>
                  <bgColor theme="8" tint="0.59996337778862885"/>
                </patternFill>
              </fill>
            </x14:dxf>
          </x14:cfRule>
          <x14:cfRule type="cellIs" priority="3622" operator="equal" id="{D3AF9DEA-2FC8-400B-B44A-40B7609678E9}">
            <xm:f>'Clash Matrix Legend'!$A$9</xm:f>
            <x14:dxf>
              <fill>
                <patternFill>
                  <bgColor theme="8" tint="0.79998168889431442"/>
                </patternFill>
              </fill>
            </x14:dxf>
          </x14:cfRule>
          <x14:cfRule type="cellIs" priority="4138" operator="equal" id="{B8F7E40D-9D5A-42AA-BEBB-006DEA0E24F5}">
            <xm:f>'Clash Matrix Legend'!$A$12</xm:f>
            <x14:dxf>
              <fill>
                <patternFill>
                  <bgColor theme="8" tint="-0.499984740745262"/>
                </patternFill>
              </fill>
            </x14:dxf>
          </x14:cfRule>
          <x14:cfRule type="cellIs" priority="4142" operator="equal" id="{38195286-7F62-47A4-849D-B76EB5DAC825}">
            <xm:f>'Clash Matrix Legend'!$A$11</xm:f>
            <x14:dxf>
              <fill>
                <patternFill>
                  <bgColor theme="8" tint="-0.24994659260841701"/>
                </patternFill>
              </fill>
            </x14:dxf>
          </x14:cfRule>
          <x14:cfRule type="cellIs" priority="4143" operator="equal" id="{9E476B44-2952-409A-807B-1D3BB26EBEF8}">
            <xm:f>'Clash Matrix Legend'!$A$10</xm:f>
            <x14:dxf>
              <fill>
                <patternFill>
                  <bgColor theme="8" tint="0.59996337778862885"/>
                </patternFill>
              </fill>
            </x14:dxf>
          </x14:cfRule>
          <x14:cfRule type="cellIs" priority="4144" operator="equal" id="{8B7D42A3-6E09-45BB-986F-5DFAEB55A2DC}">
            <xm:f>'Clash Matrix Legend'!$A$9</xm:f>
            <x14:dxf>
              <fill>
                <patternFill>
                  <bgColor theme="8" tint="0.79998168889431442"/>
                </patternFill>
              </fill>
            </x14:dxf>
          </x14:cfRule>
          <xm:sqref>AL70:AM70 AK70:AL71</xm:sqref>
        </x14:conditionalFormatting>
        <x14:conditionalFormatting xmlns:xm="http://schemas.microsoft.com/office/excel/2006/main">
          <x14:cfRule type="cellIs" priority="593" operator="equal" id="{BC584A61-7AC4-4571-BCAE-B80833EB55CC}">
            <xm:f>'Clash Matrix Legend'!$A$11</xm:f>
            <x14:dxf>
              <fill>
                <patternFill>
                  <bgColor theme="8" tint="-0.499984740745262"/>
                </patternFill>
              </fill>
            </x14:dxf>
          </x14:cfRule>
          <x14:cfRule type="cellIs" priority="626" operator="equal" id="{944DC2C1-F139-44AA-BEE7-0C75DF267A7F}">
            <xm:f>'Clash Matrix Legend'!$A$9</xm:f>
            <x14:dxf>
              <fill>
                <patternFill>
                  <bgColor theme="8" tint="0.59996337778862885"/>
                </patternFill>
              </fill>
            </x14:dxf>
          </x14:cfRule>
          <x14:cfRule type="cellIs" priority="625" operator="equal" id="{53BCDF78-7FDB-48BA-917F-6A1436E383B6}">
            <xm:f>'Clash Matrix Legend'!$A$10</xm:f>
            <x14:dxf>
              <fill>
                <patternFill>
                  <bgColor theme="8" tint="-0.24994659260841701"/>
                </patternFill>
              </fill>
            </x14:dxf>
          </x14:cfRule>
          <x14:cfRule type="cellIs" priority="598" operator="equal" id="{997CFE6F-9F1B-41B5-BD9E-5F7733CBDF9F}">
            <xm:f>'Clash Matrix Legend'!$A$9</xm:f>
            <x14:dxf>
              <fill>
                <patternFill>
                  <bgColor theme="8" tint="0.59996337778862885"/>
                </patternFill>
              </fill>
            </x14:dxf>
          </x14:cfRule>
          <x14:cfRule type="cellIs" priority="627" operator="equal" id="{247B1A50-3C17-4E4F-942D-31E3CB4A4B6C}">
            <xm:f>'Clash Matrix Legend'!#REF!</xm:f>
            <x14:dxf>
              <fill>
                <patternFill>
                  <bgColor theme="8" tint="0.79998168889431442"/>
                </patternFill>
              </fill>
            </x14:dxf>
          </x14:cfRule>
          <x14:cfRule type="cellIs" priority="609" operator="equal" id="{23EB959E-8908-4B84-B14B-24B30936C290}">
            <xm:f>'Clash Matrix Legend'!#REF!</xm:f>
            <x14:dxf>
              <fill>
                <patternFill>
                  <bgColor theme="8" tint="0.79998168889431442"/>
                </patternFill>
              </fill>
            </x14:dxf>
          </x14:cfRule>
          <x14:cfRule type="cellIs" priority="607" operator="equal" id="{1B4F5DFB-F511-4678-B3C1-ACE54496BFC7}">
            <xm:f>'Clash Matrix Legend'!$A$10</xm:f>
            <x14:dxf>
              <fill>
                <patternFill>
                  <bgColor theme="8" tint="-0.24994659260841701"/>
                </patternFill>
              </fill>
            </x14:dxf>
          </x14:cfRule>
          <x14:cfRule type="cellIs" priority="603" operator="equal" id="{3EB07D2D-7D1F-42F3-8043-74BFF2FAC024}">
            <xm:f>'Clash Matrix Legend'!$A$11</xm:f>
            <x14:dxf>
              <fill>
                <patternFill>
                  <bgColor theme="8" tint="-0.499984740745262"/>
                </patternFill>
              </fill>
            </x14:dxf>
          </x14:cfRule>
          <x14:cfRule type="cellIs" priority="599" operator="equal" id="{87FA1AFD-2FCF-48ED-8C72-D707B653858B}">
            <xm:f>'Clash Matrix Legend'!#REF!</xm:f>
            <x14:dxf>
              <fill>
                <patternFill>
                  <bgColor theme="8" tint="0.79998168889431442"/>
                </patternFill>
              </fill>
            </x14:dxf>
          </x14:cfRule>
          <x14:cfRule type="cellIs" priority="597" operator="equal" id="{EF14B8C7-B670-4DA8-9B33-E1645955F310}">
            <xm:f>'Clash Matrix Legend'!$A$10</xm:f>
            <x14:dxf>
              <fill>
                <patternFill>
                  <bgColor theme="8" tint="-0.24994659260841701"/>
                </patternFill>
              </fill>
            </x14:dxf>
          </x14:cfRule>
          <x14:cfRule type="cellIs" priority="621" operator="equal" id="{21AF100E-1781-4D47-B4A6-F69480C42E80}">
            <xm:f>'Clash Matrix Legend'!$A$11</xm:f>
            <x14:dxf>
              <fill>
                <patternFill>
                  <bgColor theme="8" tint="-0.499984740745262"/>
                </patternFill>
              </fill>
            </x14:dxf>
          </x14:cfRule>
          <x14:cfRule type="cellIs" priority="608" operator="equal" id="{6AB72B61-015F-440C-81FA-BC01D83374DF}">
            <xm:f>'Clash Matrix Legend'!$A$9</xm:f>
            <x14:dxf>
              <fill>
                <patternFill>
                  <bgColor theme="8" tint="0.59996337778862885"/>
                </patternFill>
              </fill>
            </x14:dxf>
          </x14:cfRule>
          <xm:sqref>AL70:AM70</xm:sqref>
        </x14:conditionalFormatting>
        <x14:conditionalFormatting xmlns:xm="http://schemas.microsoft.com/office/excel/2006/main">
          <x14:cfRule type="cellIs" priority="1122" operator="equal" id="{E590008F-0CAD-4168-BA31-DF9FFF703C52}">
            <xm:f>'Clash Matrix Legend'!$A$12</xm:f>
            <x14:dxf>
              <fill>
                <patternFill>
                  <bgColor theme="8" tint="-0.499984740745262"/>
                </patternFill>
              </fill>
            </x14:dxf>
          </x14:cfRule>
          <x14:cfRule type="cellIs" priority="1126" operator="equal" id="{F85BF1AE-AAFB-484D-A0FB-B4A90C181ECB}">
            <xm:f>'Clash Matrix Legend'!$A$11</xm:f>
            <x14:dxf>
              <fill>
                <patternFill>
                  <bgColor theme="8" tint="-0.24994659260841701"/>
                </patternFill>
              </fill>
            </x14:dxf>
          </x14:cfRule>
          <x14:cfRule type="cellIs" priority="1128" operator="equal" id="{9600B661-A545-4969-8345-1BBC902A139E}">
            <xm:f>'Clash Matrix Legend'!$A$9</xm:f>
            <x14:dxf>
              <fill>
                <patternFill>
                  <bgColor theme="8" tint="0.79998168889431442"/>
                </patternFill>
              </fill>
            </x14:dxf>
          </x14:cfRule>
          <x14:cfRule type="cellIs" priority="1152" operator="equal" id="{0585CE46-47D5-435D-90C0-C902B870CD1B}">
            <xm:f>'Clash Matrix Legend'!$A$11</xm:f>
            <x14:dxf>
              <fill>
                <patternFill>
                  <bgColor theme="8" tint="-0.499984740745262"/>
                </patternFill>
              </fill>
            </x14:dxf>
          </x14:cfRule>
          <x14:cfRule type="cellIs" priority="1156" operator="equal" id="{210BC3CE-5467-4287-8A66-C0B97C5D39D0}">
            <xm:f>'Clash Matrix Legend'!$A$10</xm:f>
            <x14:dxf>
              <fill>
                <patternFill>
                  <bgColor theme="8" tint="-0.24994659260841701"/>
                </patternFill>
              </fill>
            </x14:dxf>
          </x14:cfRule>
          <x14:cfRule type="cellIs" priority="1157" operator="equal" id="{F0A4A839-DFF8-4260-AA6F-C774D702EE6D}">
            <xm:f>'Clash Matrix Legend'!$A$9</xm:f>
            <x14:dxf>
              <fill>
                <patternFill>
                  <bgColor theme="8" tint="0.59996337778862885"/>
                </patternFill>
              </fill>
            </x14:dxf>
          </x14:cfRule>
          <x14:cfRule type="cellIs" priority="1158" operator="equal" id="{0A1A307A-E23C-4F20-B9FE-5BE87FB833B0}">
            <xm:f>'Clash Matrix Legend'!#REF!</xm:f>
            <x14:dxf>
              <fill>
                <patternFill>
                  <bgColor theme="8" tint="0.79998168889431442"/>
                </patternFill>
              </fill>
            </x14:dxf>
          </x14:cfRule>
          <x14:cfRule type="cellIs" priority="1160" operator="equal" id="{1CBC6D5B-5A6B-464C-91FF-ED1E33B44883}">
            <xm:f>'Clash Matrix Legend'!$A$11</xm:f>
            <x14:dxf>
              <fill>
                <patternFill>
                  <bgColor theme="8" tint="-0.499984740745262"/>
                </patternFill>
              </fill>
            </x14:dxf>
          </x14:cfRule>
          <x14:cfRule type="cellIs" priority="1163" operator="equal" id="{618C1ECD-DFED-4B90-83CB-B67FADBD64EF}">
            <xm:f>'Clash Matrix Legend'!$A$10</xm:f>
            <x14:dxf>
              <fill>
                <patternFill>
                  <bgColor theme="8" tint="-0.24994659260841701"/>
                </patternFill>
              </fill>
            </x14:dxf>
          </x14:cfRule>
          <x14:cfRule type="cellIs" priority="1164" operator="equal" id="{F51738C5-86D6-4D8C-9863-936F1B29617B}">
            <xm:f>'Clash Matrix Legend'!$A$9</xm:f>
            <x14:dxf>
              <fill>
                <patternFill>
                  <bgColor theme="8" tint="0.59996337778862885"/>
                </patternFill>
              </fill>
            </x14:dxf>
          </x14:cfRule>
          <x14:cfRule type="cellIs" priority="1165" operator="equal" id="{307E2628-2469-4DBD-83B7-047370612075}">
            <xm:f>'Clash Matrix Legend'!#REF!</xm:f>
            <x14:dxf>
              <fill>
                <patternFill>
                  <bgColor theme="8" tint="0.79998168889431442"/>
                </patternFill>
              </fill>
            </x14:dxf>
          </x14:cfRule>
          <x14:cfRule type="cellIs" priority="1167" operator="equal" id="{C6E82DE6-348D-41D8-A111-574D04D54EB4}">
            <xm:f>'Clash Matrix Legend'!$A$11</xm:f>
            <x14:dxf>
              <fill>
                <patternFill>
                  <bgColor theme="8" tint="-0.499984740745262"/>
                </patternFill>
              </fill>
            </x14:dxf>
          </x14:cfRule>
          <x14:cfRule type="cellIs" priority="1171" operator="equal" id="{0ECC1260-B1BA-4FBE-95F9-AFF48F4526C5}">
            <xm:f>'Clash Matrix Legend'!$A$10</xm:f>
            <x14:dxf>
              <fill>
                <patternFill>
                  <bgColor theme="8" tint="-0.24994659260841701"/>
                </patternFill>
              </fill>
            </x14:dxf>
          </x14:cfRule>
          <x14:cfRule type="cellIs" priority="1172" operator="equal" id="{2EEC9330-F86E-430D-963D-6D5DCB70CB40}">
            <xm:f>'Clash Matrix Legend'!$A$9</xm:f>
            <x14:dxf>
              <fill>
                <patternFill>
                  <bgColor theme="8" tint="0.59996337778862885"/>
                </patternFill>
              </fill>
            </x14:dxf>
          </x14:cfRule>
          <x14:cfRule type="cellIs" priority="1173" operator="equal" id="{25DA2177-2F54-4DBA-BF06-CE1A99240BE1}">
            <xm:f>'Clash Matrix Legend'!#REF!</xm:f>
            <x14:dxf>
              <fill>
                <patternFill>
                  <bgColor theme="8" tint="0.79998168889431442"/>
                </patternFill>
              </fill>
            </x14:dxf>
          </x14:cfRule>
          <x14:cfRule type="cellIs" priority="1178" operator="equal" id="{4ADB009B-4A86-4ACA-BFC1-7D680B43A7AA}">
            <xm:f>'Clash Matrix Legend'!$A$11</xm:f>
            <x14:dxf>
              <fill>
                <patternFill>
                  <bgColor theme="8" tint="-0.499984740745262"/>
                </patternFill>
              </fill>
            </x14:dxf>
          </x14:cfRule>
          <x14:cfRule type="cellIs" priority="1182" operator="equal" id="{E181EF84-ACA5-45C5-A7A2-787A9340E499}">
            <xm:f>'Clash Matrix Legend'!$A$10</xm:f>
            <x14:dxf>
              <fill>
                <patternFill>
                  <bgColor theme="8" tint="-0.24994659260841701"/>
                </patternFill>
              </fill>
            </x14:dxf>
          </x14:cfRule>
          <x14:cfRule type="cellIs" priority="1183" operator="equal" id="{5969B51F-0B1D-4AB2-8B7F-C6581F4B78D9}">
            <xm:f>'Clash Matrix Legend'!$A$9</xm:f>
            <x14:dxf>
              <fill>
                <patternFill>
                  <bgColor theme="8" tint="0.59996337778862885"/>
                </patternFill>
              </fill>
            </x14:dxf>
          </x14:cfRule>
          <x14:cfRule type="cellIs" priority="1184" operator="equal" id="{FD07EE66-8C32-48DE-BB70-15A8206E4A62}">
            <xm:f>'Clash Matrix Legend'!#REF!</xm:f>
            <x14:dxf>
              <fill>
                <patternFill>
                  <bgColor theme="8" tint="0.79998168889431442"/>
                </patternFill>
              </fill>
            </x14:dxf>
          </x14:cfRule>
          <x14:cfRule type="cellIs" priority="1127" operator="equal" id="{25378042-D61B-4147-8EBC-878632A92B1E}">
            <xm:f>'Clash Matrix Legend'!$A$10</xm:f>
            <x14:dxf>
              <fill>
                <patternFill>
                  <bgColor theme="8" tint="0.59996337778862885"/>
                </patternFill>
              </fill>
            </x14:dxf>
          </x14:cfRule>
          <x14:cfRule type="cellIs" priority="928" operator="equal" id="{FB0169F5-A85E-448C-8475-4760589005A5}">
            <xm:f>'Clash Matrix Legend'!$A$11</xm:f>
            <x14:dxf>
              <fill>
                <patternFill>
                  <bgColor theme="8" tint="-0.499984740745262"/>
                </patternFill>
              </fill>
            </x14:dxf>
          </x14:cfRule>
          <x14:cfRule type="cellIs" priority="932" operator="equal" id="{4B41613A-81F2-4AA6-9B65-1CFD747237B7}">
            <xm:f>'Clash Matrix Legend'!$A$10</xm:f>
            <x14:dxf>
              <fill>
                <patternFill>
                  <bgColor theme="8" tint="-0.24994659260841701"/>
                </patternFill>
              </fill>
            </x14:dxf>
          </x14:cfRule>
          <x14:cfRule type="cellIs" priority="933" operator="equal" id="{87342CA1-D128-486C-A4AD-427BDB4625D8}">
            <xm:f>'Clash Matrix Legend'!$A$9</xm:f>
            <x14:dxf>
              <fill>
                <patternFill>
                  <bgColor theme="8" tint="0.59996337778862885"/>
                </patternFill>
              </fill>
            </x14:dxf>
          </x14:cfRule>
          <x14:cfRule type="cellIs" priority="934" operator="equal" id="{7752D55B-78A9-41C6-A5CC-8E14F6454E91}">
            <xm:f>'Clash Matrix Legend'!#REF!</xm:f>
            <x14:dxf>
              <fill>
                <patternFill>
                  <bgColor theme="8" tint="0.79998168889431442"/>
                </patternFill>
              </fill>
            </x14:dxf>
          </x14:cfRule>
          <x14:cfRule type="cellIs" priority="938" operator="equal" id="{D918293E-189B-47A9-A23B-3526E37A4ACB}">
            <xm:f>'Clash Matrix Legend'!$A$11</xm:f>
            <x14:dxf>
              <fill>
                <patternFill>
                  <bgColor theme="8" tint="-0.499984740745262"/>
                </patternFill>
              </fill>
            </x14:dxf>
          </x14:cfRule>
          <x14:cfRule type="cellIs" priority="942" operator="equal" id="{550796BF-346C-44AC-A1C1-84BF53530AA1}">
            <xm:f>'Clash Matrix Legend'!$A$10</xm:f>
            <x14:dxf>
              <fill>
                <patternFill>
                  <bgColor theme="8" tint="-0.24994659260841701"/>
                </patternFill>
              </fill>
            </x14:dxf>
          </x14:cfRule>
          <x14:cfRule type="cellIs" priority="943" operator="equal" id="{9F625813-3CC5-4C54-8693-F702534153D1}">
            <xm:f>'Clash Matrix Legend'!$A$9</xm:f>
            <x14:dxf>
              <fill>
                <patternFill>
                  <bgColor theme="8" tint="0.59996337778862885"/>
                </patternFill>
              </fill>
            </x14:dxf>
          </x14:cfRule>
          <x14:cfRule type="cellIs" priority="944" operator="equal" id="{0D76E364-2A81-43D3-99DD-2D322F903C75}">
            <xm:f>'Clash Matrix Legend'!#REF!</xm:f>
            <x14:dxf>
              <fill>
                <patternFill>
                  <bgColor theme="8" tint="0.79998168889431442"/>
                </patternFill>
              </fill>
            </x14:dxf>
          </x14:cfRule>
          <x14:cfRule type="cellIs" priority="956" operator="equal" id="{0BE9CCB9-C139-417F-A21D-4F122A8454AE}">
            <xm:f>'Clash Matrix Legend'!$A$11</xm:f>
            <x14:dxf>
              <fill>
                <patternFill>
                  <bgColor theme="8" tint="-0.499984740745262"/>
                </patternFill>
              </fill>
            </x14:dxf>
          </x14:cfRule>
          <x14:cfRule type="cellIs" priority="960" operator="equal" id="{CE49234C-B3D1-42C0-95E1-A621D421B324}">
            <xm:f>'Clash Matrix Legend'!$A$10</xm:f>
            <x14:dxf>
              <fill>
                <patternFill>
                  <bgColor theme="8" tint="-0.24994659260841701"/>
                </patternFill>
              </fill>
            </x14:dxf>
          </x14:cfRule>
          <x14:cfRule type="cellIs" priority="961" operator="equal" id="{86DEB0FE-B69A-459D-BAA0-E439785C4B05}">
            <xm:f>'Clash Matrix Legend'!$A$9</xm:f>
            <x14:dxf>
              <fill>
                <patternFill>
                  <bgColor theme="8" tint="0.59996337778862885"/>
                </patternFill>
              </fill>
            </x14:dxf>
          </x14:cfRule>
          <x14:cfRule type="cellIs" priority="962" operator="equal" id="{D80697DA-6CCA-4620-BE22-BF649E7092B4}">
            <xm:f>'Clash Matrix Legend'!#REF!</xm:f>
            <x14:dxf>
              <fill>
                <patternFill>
                  <bgColor theme="8" tint="0.79998168889431442"/>
                </patternFill>
              </fill>
            </x14:dxf>
          </x14:cfRule>
          <x14:cfRule type="cellIs" priority="1104" operator="equal" id="{223E4728-BCC9-46D5-9876-0D0A7094BC70}">
            <xm:f>'Clash Matrix Legend'!$A$12</xm:f>
            <x14:dxf>
              <fill>
                <patternFill>
                  <bgColor theme="8" tint="-0.499984740745262"/>
                </patternFill>
              </fill>
            </x14:dxf>
          </x14:cfRule>
          <x14:cfRule type="cellIs" priority="1107" operator="equal" id="{72482668-AEB9-4F6A-AF24-803EEB5DC38F}">
            <xm:f>'Clash Matrix Legend'!$A$11</xm:f>
            <x14:dxf>
              <fill>
                <patternFill>
                  <bgColor theme="8" tint="-0.24994659260841701"/>
                </patternFill>
              </fill>
            </x14:dxf>
          </x14:cfRule>
          <x14:cfRule type="cellIs" priority="1108" operator="equal" id="{1E91E752-489E-4699-89E8-7F908A047107}">
            <xm:f>'Clash Matrix Legend'!$A$10</xm:f>
            <x14:dxf>
              <fill>
                <patternFill>
                  <bgColor theme="8" tint="0.59996337778862885"/>
                </patternFill>
              </fill>
            </x14:dxf>
          </x14:cfRule>
          <x14:cfRule type="cellIs" priority="1109" operator="equal" id="{2B3B967E-B079-4871-AB50-DF5B9306F756}">
            <xm:f>'Clash Matrix Legend'!$A$9</xm:f>
            <x14:dxf>
              <fill>
                <patternFill>
                  <bgColor theme="8" tint="0.79998168889431442"/>
                </patternFill>
              </fill>
            </x14:dxf>
          </x14:cfRule>
          <x14:cfRule type="cellIs" priority="1111" operator="equal" id="{DA12146B-76E0-4860-B925-C91DB387005B}">
            <xm:f>'Clash Matrix Legend'!$A$12</xm:f>
            <x14:dxf>
              <fill>
                <patternFill>
                  <bgColor theme="8" tint="-0.499984740745262"/>
                </patternFill>
              </fill>
            </x14:dxf>
          </x14:cfRule>
          <x14:cfRule type="cellIs" priority="1115" operator="equal" id="{C28712FE-FA3A-4B7D-AC78-F85997D15EFB}">
            <xm:f>'Clash Matrix Legend'!$A$11</xm:f>
            <x14:dxf>
              <fill>
                <patternFill>
                  <bgColor theme="8" tint="-0.24994659260841701"/>
                </patternFill>
              </fill>
            </x14:dxf>
          </x14:cfRule>
          <x14:cfRule type="cellIs" priority="1116" operator="equal" id="{0B12B289-ED2B-4F31-919A-F5B22EF8523B}">
            <xm:f>'Clash Matrix Legend'!$A$10</xm:f>
            <x14:dxf>
              <fill>
                <patternFill>
                  <bgColor theme="8" tint="0.59996337778862885"/>
                </patternFill>
              </fill>
            </x14:dxf>
          </x14:cfRule>
          <x14:cfRule type="cellIs" priority="1117" operator="equal" id="{939BFFC7-3FD7-4942-B93F-4CF472179C37}">
            <xm:f>'Clash Matrix Legend'!$A$9</xm:f>
            <x14:dxf>
              <fill>
                <patternFill>
                  <bgColor theme="8" tint="0.79998168889431442"/>
                </patternFill>
              </fill>
            </x14:dxf>
          </x14:cfRule>
          <xm:sqref>AL72:AM73</xm:sqref>
        </x14:conditionalFormatting>
        <x14:conditionalFormatting xmlns:xm="http://schemas.microsoft.com/office/excel/2006/main">
          <x14:cfRule type="cellIs" priority="986" operator="equal" id="{680A4DA7-EC0E-4C07-8D9E-1986646AE4F6}">
            <xm:f>'Clash Matrix Legend'!$A$9</xm:f>
            <x14:dxf>
              <fill>
                <patternFill>
                  <bgColor theme="8" tint="0.59996337778862885"/>
                </patternFill>
              </fill>
            </x14:dxf>
          </x14:cfRule>
          <x14:cfRule type="cellIs" priority="985" operator="equal" id="{25CCA596-CBC7-444E-BFBA-0377418C45AE}">
            <xm:f>'Clash Matrix Legend'!$A$10</xm:f>
            <x14:dxf>
              <fill>
                <patternFill>
                  <bgColor theme="8" tint="-0.24994659260841701"/>
                </patternFill>
              </fill>
            </x14:dxf>
          </x14:cfRule>
          <x14:cfRule type="cellIs" priority="981" operator="equal" id="{A1D9D289-9A6C-4B91-B8B5-653E77B65196}">
            <xm:f>'Clash Matrix Legend'!$A$11</xm:f>
            <x14:dxf>
              <fill>
                <patternFill>
                  <bgColor theme="8" tint="-0.499984740745262"/>
                </patternFill>
              </fill>
            </x14:dxf>
          </x14:cfRule>
          <x14:cfRule type="cellIs" priority="978" operator="equal" id="{9AAD24BE-AFF8-43A3-958A-447CC3513C93}">
            <xm:f>'Clash Matrix Legend'!#REF!</xm:f>
            <x14:dxf>
              <fill>
                <patternFill>
                  <bgColor theme="8" tint="0.79998168889431442"/>
                </patternFill>
              </fill>
            </x14:dxf>
          </x14:cfRule>
          <x14:cfRule type="cellIs" priority="977" operator="equal" id="{5C72670A-32E6-45E9-89BC-DAEA68C5F823}">
            <xm:f>'Clash Matrix Legend'!$A$9</xm:f>
            <x14:dxf>
              <fill>
                <patternFill>
                  <bgColor theme="8" tint="0.59996337778862885"/>
                </patternFill>
              </fill>
            </x14:dxf>
          </x14:cfRule>
          <x14:cfRule type="cellIs" priority="976" operator="equal" id="{D5E2F285-FDB5-4E26-BD2C-713B65572AFE}">
            <xm:f>'Clash Matrix Legend'!$A$10</xm:f>
            <x14:dxf>
              <fill>
                <patternFill>
                  <bgColor theme="8" tint="-0.24994659260841701"/>
                </patternFill>
              </fill>
            </x14:dxf>
          </x14:cfRule>
          <x14:cfRule type="cellIs" priority="972" operator="equal" id="{A2C16694-EBC3-451C-8B57-8541D02B890A}">
            <xm:f>'Clash Matrix Legend'!$A$11</xm:f>
            <x14:dxf>
              <fill>
                <patternFill>
                  <bgColor theme="8" tint="-0.499984740745262"/>
                </patternFill>
              </fill>
            </x14:dxf>
          </x14:cfRule>
          <x14:cfRule type="cellIs" priority="1151" operator="equal" id="{4D83999F-84C9-4E84-8D38-2FDB40EC223A}">
            <xm:f>'Clash Matrix Legend'!#REF!</xm:f>
            <x14:dxf>
              <fill>
                <patternFill>
                  <bgColor theme="8" tint="0.79998168889431442"/>
                </patternFill>
              </fill>
            </x14:dxf>
          </x14:cfRule>
          <x14:cfRule type="cellIs" priority="1150" operator="equal" id="{0F01C7AC-CCDB-42E9-A17D-19F24318A1F8}">
            <xm:f>'Clash Matrix Legend'!$A$9</xm:f>
            <x14:dxf>
              <fill>
                <patternFill>
                  <bgColor theme="8" tint="0.59996337778862885"/>
                </patternFill>
              </fill>
            </x14:dxf>
          </x14:cfRule>
          <x14:cfRule type="cellIs" priority="1149" operator="equal" id="{E1CAABDB-C46E-438E-9058-E8203C20C651}">
            <xm:f>'Clash Matrix Legend'!$A$10</xm:f>
            <x14:dxf>
              <fill>
                <patternFill>
                  <bgColor theme="8" tint="-0.24994659260841701"/>
                </patternFill>
              </fill>
            </x14:dxf>
          </x14:cfRule>
          <x14:cfRule type="cellIs" priority="1146" operator="equal" id="{3E119C3F-F7F0-4D55-B72B-314651ABFAAC}">
            <xm:f>'Clash Matrix Legend'!$A$11</xm:f>
            <x14:dxf>
              <fill>
                <patternFill>
                  <bgColor theme="8" tint="-0.499984740745262"/>
                </patternFill>
              </fill>
            </x14:dxf>
          </x14:cfRule>
          <x14:cfRule type="cellIs" priority="1145" operator="equal" id="{1C1A332E-D8FD-4097-884B-F0B3288C5A20}">
            <xm:f>'Clash Matrix Legend'!#REF!</xm:f>
            <x14:dxf>
              <fill>
                <patternFill>
                  <bgColor theme="8" tint="0.79998168889431442"/>
                </patternFill>
              </fill>
            </x14:dxf>
          </x14:cfRule>
          <x14:cfRule type="cellIs" priority="1144" operator="equal" id="{348D01CF-6BD8-4091-BF32-4BC511BD02B9}">
            <xm:f>'Clash Matrix Legend'!$A$9</xm:f>
            <x14:dxf>
              <fill>
                <patternFill>
                  <bgColor theme="8" tint="0.59996337778862885"/>
                </patternFill>
              </fill>
            </x14:dxf>
          </x14:cfRule>
          <x14:cfRule type="cellIs" priority="1143" operator="equal" id="{05AB5A6F-95FC-4431-B34A-AE687F62D305}">
            <xm:f>'Clash Matrix Legend'!$A$10</xm:f>
            <x14:dxf>
              <fill>
                <patternFill>
                  <bgColor theme="8" tint="-0.24994659260841701"/>
                </patternFill>
              </fill>
            </x14:dxf>
          </x14:cfRule>
          <x14:cfRule type="cellIs" priority="1140" operator="equal" id="{247F5018-B660-40AB-8751-13E6D5AA856E}">
            <xm:f>'Clash Matrix Legend'!$A$11</xm:f>
            <x14:dxf>
              <fill>
                <patternFill>
                  <bgColor theme="8" tint="-0.499984740745262"/>
                </patternFill>
              </fill>
            </x14:dxf>
          </x14:cfRule>
          <x14:cfRule type="cellIs" priority="1103" operator="equal" id="{79E36566-46DD-46D0-B840-C7C82EEA15C7}">
            <xm:f>'Clash Matrix Legend'!$A$11</xm:f>
            <x14:dxf>
              <fill>
                <patternFill>
                  <bgColor theme="8" tint="-0.499984740745262"/>
                </patternFill>
              </fill>
            </x14:dxf>
          </x14:cfRule>
          <x14:cfRule type="cellIs" priority="1101" operator="equal" id="{3DD9086F-5B6F-4294-B2FA-4996B0FBE501}">
            <xm:f>'Clash Matrix Legend'!$A$11</xm:f>
            <x14:dxf>
              <fill>
                <patternFill>
                  <bgColor theme="8" tint="-0.499984740745262"/>
                </patternFill>
              </fill>
            </x14:dxf>
          </x14:cfRule>
          <x14:cfRule type="cellIs" priority="1098" operator="equal" id="{95FC6A5C-C5AA-426D-8F28-C3DD8C6C4506}">
            <xm:f>'Clash Matrix Legend'!#REF!</xm:f>
            <x14:dxf>
              <fill>
                <patternFill>
                  <bgColor theme="8" tint="0.79998168889431442"/>
                </patternFill>
              </fill>
            </x14:dxf>
          </x14:cfRule>
          <x14:cfRule type="cellIs" priority="1097" operator="equal" id="{22A88760-FE3C-47BD-A9E1-7C5B38EDF40B}">
            <xm:f>'Clash Matrix Legend'!$A$9</xm:f>
            <x14:dxf>
              <fill>
                <patternFill>
                  <bgColor theme="8" tint="0.59996337778862885"/>
                </patternFill>
              </fill>
            </x14:dxf>
          </x14:cfRule>
          <x14:cfRule type="cellIs" priority="3240" operator="equal" id="{7180FECC-28FB-4468-AE1E-EA07A7AA571A}">
            <xm:f>'Clash Matrix Legend'!#REF!</xm:f>
            <x14:dxf>
              <fill>
                <patternFill>
                  <bgColor theme="8" tint="0.79998168889431442"/>
                </patternFill>
              </fill>
            </x14:dxf>
          </x14:cfRule>
          <x14:cfRule type="cellIs" priority="3239" operator="equal" id="{2A0153F3-3933-4727-B3FC-C2AB83E1CC7C}">
            <xm:f>'Clash Matrix Legend'!$A$9</xm:f>
            <x14:dxf>
              <fill>
                <patternFill>
                  <bgColor theme="8" tint="0.59996337778862885"/>
                </patternFill>
              </fill>
            </x14:dxf>
          </x14:cfRule>
          <x14:cfRule type="cellIs" priority="3238" operator="equal" id="{F9B9A23B-D535-4B1A-92DA-B87809595DF4}">
            <xm:f>'Clash Matrix Legend'!$A$10</xm:f>
            <x14:dxf>
              <fill>
                <patternFill>
                  <bgColor theme="8" tint="-0.24994659260841701"/>
                </patternFill>
              </fill>
            </x14:dxf>
          </x14:cfRule>
          <x14:cfRule type="cellIs" priority="3235" operator="equal" id="{9B0E1C05-AB6B-4405-A6F4-F175C70D3963}">
            <xm:f>'Clash Matrix Legend'!#REF!</xm:f>
            <x14:dxf>
              <fill>
                <patternFill>
                  <bgColor theme="8" tint="0.79998168889431442"/>
                </patternFill>
              </fill>
            </x14:dxf>
          </x14:cfRule>
          <x14:cfRule type="cellIs" priority="3234" operator="equal" id="{9B7DCCE9-2FBB-4A01-A107-36F34C1C007D}">
            <xm:f>'Clash Matrix Legend'!$A$9</xm:f>
            <x14:dxf>
              <fill>
                <patternFill>
                  <bgColor theme="8" tint="0.59996337778862885"/>
                </patternFill>
              </fill>
            </x14:dxf>
          </x14:cfRule>
          <x14:cfRule type="cellIs" priority="3233" operator="equal" id="{1F152950-9317-4031-B63E-698896438A69}">
            <xm:f>'Clash Matrix Legend'!$A$10</xm:f>
            <x14:dxf>
              <fill>
                <patternFill>
                  <bgColor theme="8" tint="-0.24994659260841701"/>
                </patternFill>
              </fill>
            </x14:dxf>
          </x14:cfRule>
          <x14:cfRule type="cellIs" priority="3229" operator="equal" id="{B5ADE2C4-E5C7-48C8-B20A-3D930A5AC69C}">
            <xm:f>'Clash Matrix Legend'!$A$11</xm:f>
            <x14:dxf>
              <fill>
                <patternFill>
                  <bgColor theme="8" tint="-0.499984740745262"/>
                </patternFill>
              </fill>
            </x14:dxf>
          </x14:cfRule>
          <x14:cfRule type="cellIs" priority="3225" operator="equal" id="{2F6E401B-1E58-4381-8C68-0AEAAC6A2470}">
            <xm:f>'Clash Matrix Legend'!$A$11</xm:f>
            <x14:dxf>
              <fill>
                <patternFill>
                  <bgColor theme="8" tint="-0.499984740745262"/>
                </patternFill>
              </fill>
            </x14:dxf>
          </x14:cfRule>
          <x14:cfRule type="cellIs" priority="3222" operator="equal" id="{2B6B223E-D3BB-48FA-B583-68A617429B78}">
            <xm:f>'Clash Matrix Legend'!#REF!</xm:f>
            <x14:dxf>
              <fill>
                <patternFill>
                  <bgColor theme="8" tint="0.79998168889431442"/>
                </patternFill>
              </fill>
            </x14:dxf>
          </x14:cfRule>
          <x14:cfRule type="cellIs" priority="3221" operator="equal" id="{E085B293-22FF-447A-A7D2-F4E6E17707D9}">
            <xm:f>'Clash Matrix Legend'!$A$9</xm:f>
            <x14:dxf>
              <fill>
                <patternFill>
                  <bgColor theme="8" tint="0.59996337778862885"/>
                </patternFill>
              </fill>
            </x14:dxf>
          </x14:cfRule>
          <x14:cfRule type="cellIs" priority="3220" operator="equal" id="{FB31A8B9-D9B9-482A-843F-D8F88FD3A918}">
            <xm:f>'Clash Matrix Legend'!$A$10</xm:f>
            <x14:dxf>
              <fill>
                <patternFill>
                  <bgColor theme="8" tint="-0.24994659260841701"/>
                </patternFill>
              </fill>
            </x14:dxf>
          </x14:cfRule>
          <x14:cfRule type="cellIs" priority="1096" operator="equal" id="{C4BFE7D5-004A-4147-A7C1-A4E19F1532A9}">
            <xm:f>'Clash Matrix Legend'!$A$10</xm:f>
            <x14:dxf>
              <fill>
                <patternFill>
                  <bgColor theme="8" tint="-0.24994659260841701"/>
                </patternFill>
              </fill>
            </x14:dxf>
          </x14:cfRule>
          <x14:cfRule type="cellIs" priority="1093" operator="equal" id="{D0E10073-1DC7-495B-9F3E-82EB796385F8}">
            <xm:f>'Clash Matrix Legend'!$A$11</xm:f>
            <x14:dxf>
              <fill>
                <patternFill>
                  <bgColor theme="8" tint="-0.499984740745262"/>
                </patternFill>
              </fill>
            </x14:dxf>
          </x14:cfRule>
          <x14:cfRule type="cellIs" priority="1091" operator="equal" id="{C37912A0-D042-414B-A690-A38822D4A913}">
            <xm:f>'Clash Matrix Legend'!#REF!</xm:f>
            <x14:dxf>
              <fill>
                <patternFill>
                  <bgColor theme="8" tint="0.79998168889431442"/>
                </patternFill>
              </fill>
            </x14:dxf>
          </x14:cfRule>
          <x14:cfRule type="cellIs" priority="1090" operator="equal" id="{239A5C44-77D5-4515-B8F3-66BEC92B7B0C}">
            <xm:f>'Clash Matrix Legend'!$A$9</xm:f>
            <x14:dxf>
              <fill>
                <patternFill>
                  <bgColor theme="8" tint="0.59996337778862885"/>
                </patternFill>
              </fill>
            </x14:dxf>
          </x14:cfRule>
          <x14:cfRule type="cellIs" priority="1089" operator="equal" id="{A2A7E44E-022A-48CA-B1B3-0FD004D4C56D}">
            <xm:f>'Clash Matrix Legend'!$A$10</xm:f>
            <x14:dxf>
              <fill>
                <patternFill>
                  <bgColor theme="8" tint="-0.24994659260841701"/>
                </patternFill>
              </fill>
            </x14:dxf>
          </x14:cfRule>
          <x14:cfRule type="cellIs" priority="1017" operator="equal" id="{578DA14D-D072-4B81-8C1E-30EE9A99B488}">
            <xm:f>'Clash Matrix Legend'!$A$11</xm:f>
            <x14:dxf>
              <fill>
                <patternFill>
                  <bgColor theme="8" tint="-0.499984740745262"/>
                </patternFill>
              </fill>
            </x14:dxf>
          </x14:cfRule>
          <x14:cfRule type="cellIs" priority="1085" operator="equal" id="{D2D3DACE-261C-4D17-AD69-0CC3A15E48D8}">
            <xm:f>'Clash Matrix Legend'!$A$11</xm:f>
            <x14:dxf>
              <fill>
                <patternFill>
                  <bgColor theme="8" tint="-0.499984740745262"/>
                </patternFill>
              </fill>
            </x14:dxf>
          </x14:cfRule>
          <x14:cfRule type="cellIs" priority="1083" operator="equal" id="{5608DDA0-FD09-4939-BC19-96C900B3F9C6}">
            <xm:f>'Clash Matrix Legend'!#REF!</xm:f>
            <x14:dxf>
              <fill>
                <patternFill>
                  <bgColor theme="8" tint="0.79998168889431442"/>
                </patternFill>
              </fill>
            </x14:dxf>
          </x14:cfRule>
          <x14:cfRule type="cellIs" priority="1082" operator="equal" id="{8D4508F6-AE19-4785-8658-064998A49229}">
            <xm:f>'Clash Matrix Legend'!$A$9</xm:f>
            <x14:dxf>
              <fill>
                <patternFill>
                  <bgColor theme="8" tint="0.59996337778862885"/>
                </patternFill>
              </fill>
            </x14:dxf>
          </x14:cfRule>
          <x14:cfRule type="cellIs" priority="1081" operator="equal" id="{7F0E9C7F-5A06-4F19-9BA1-0C94E51A0E2C}">
            <xm:f>'Clash Matrix Legend'!$A$10</xm:f>
            <x14:dxf>
              <fill>
                <patternFill>
                  <bgColor theme="8" tint="-0.24994659260841701"/>
                </patternFill>
              </fill>
            </x14:dxf>
          </x14:cfRule>
          <x14:cfRule type="cellIs" priority="1077" operator="equal" id="{6EB1A9A6-1734-4A8B-99FE-EE9D3A6C7B02}">
            <xm:f>'Clash Matrix Legend'!$A$11</xm:f>
            <x14:dxf>
              <fill>
                <patternFill>
                  <bgColor theme="8" tint="-0.499984740745262"/>
                </patternFill>
              </fill>
            </x14:dxf>
          </x14:cfRule>
          <x14:cfRule type="cellIs" priority="1076" operator="equal" id="{2903313E-FF6F-478A-834F-4C67EB09F3C2}">
            <xm:f>'Clash Matrix Legend'!#REF!</xm:f>
            <x14:dxf>
              <fill>
                <patternFill>
                  <bgColor theme="8" tint="0.79998168889431442"/>
                </patternFill>
              </fill>
            </x14:dxf>
          </x14:cfRule>
          <x14:cfRule type="cellIs" priority="1075" operator="equal" id="{B3FB37AA-2366-4188-86F0-9FF652F82B5B}">
            <xm:f>'Clash Matrix Legend'!$A$9</xm:f>
            <x14:dxf>
              <fill>
                <patternFill>
                  <bgColor theme="8" tint="0.59996337778862885"/>
                </patternFill>
              </fill>
            </x14:dxf>
          </x14:cfRule>
          <x14:cfRule type="cellIs" priority="1074" operator="equal" id="{115F544B-FF5B-447D-8FA3-90D0E695B35D}">
            <xm:f>'Clash Matrix Legend'!$A$10</xm:f>
            <x14:dxf>
              <fill>
                <patternFill>
                  <bgColor theme="8" tint="-0.24994659260841701"/>
                </patternFill>
              </fill>
            </x14:dxf>
          </x14:cfRule>
          <x14:cfRule type="cellIs" priority="1071" operator="equal" id="{4E5F269D-7A70-452D-98C9-C6C91A1D4786}">
            <xm:f>'Clash Matrix Legend'!$A$11</xm:f>
            <x14:dxf>
              <fill>
                <patternFill>
                  <bgColor theme="8" tint="-0.499984740745262"/>
                </patternFill>
              </fill>
            </x14:dxf>
          </x14:cfRule>
          <x14:cfRule type="cellIs" priority="1070" operator="equal" id="{8ADAA7FE-126F-459E-9563-6F0E1FBB38BF}">
            <xm:f>'Clash Matrix Legend'!#REF!</xm:f>
            <x14:dxf>
              <fill>
                <patternFill>
                  <bgColor theme="8" tint="0.79998168889431442"/>
                </patternFill>
              </fill>
            </x14:dxf>
          </x14:cfRule>
          <x14:cfRule type="cellIs" priority="1069" operator="equal" id="{0ABBEC20-879D-4668-9CEA-5F074DF73870}">
            <xm:f>'Clash Matrix Legend'!$A$9</xm:f>
            <x14:dxf>
              <fill>
                <patternFill>
                  <bgColor theme="8" tint="0.59996337778862885"/>
                </patternFill>
              </fill>
            </x14:dxf>
          </x14:cfRule>
          <x14:cfRule type="cellIs" priority="1068" operator="equal" id="{C71E8BE0-015B-44E6-BDEA-1ABBCA9AF214}">
            <xm:f>'Clash Matrix Legend'!$A$10</xm:f>
            <x14:dxf>
              <fill>
                <patternFill>
                  <bgColor theme="8" tint="-0.24994659260841701"/>
                </patternFill>
              </fill>
            </x14:dxf>
          </x14:cfRule>
          <x14:cfRule type="cellIs" priority="3217" operator="equal" id="{7635EFDD-2011-41FE-81C7-06103864B773}">
            <xm:f>'Clash Matrix Legend'!$A$11</xm:f>
            <x14:dxf>
              <fill>
                <patternFill>
                  <bgColor theme="8" tint="-0.499984740745262"/>
                </patternFill>
              </fill>
            </x14:dxf>
          </x14:cfRule>
          <x14:cfRule type="cellIs" priority="1056" operator="equal" id="{4AC225DD-6EFD-42F5-A146-32616C8D9B2D}">
            <xm:f>'Clash Matrix Legend'!#REF!</xm:f>
            <x14:dxf>
              <fill>
                <patternFill>
                  <bgColor theme="8" tint="0.79998168889431442"/>
                </patternFill>
              </fill>
            </x14:dxf>
          </x14:cfRule>
          <x14:cfRule type="cellIs" priority="1055" operator="equal" id="{7D60B0E7-A341-4B59-9F97-DA0B7430E739}">
            <xm:f>'Clash Matrix Legend'!$A$9</xm:f>
            <x14:dxf>
              <fill>
                <patternFill>
                  <bgColor theme="8" tint="0.59996337778862885"/>
                </patternFill>
              </fill>
            </x14:dxf>
          </x14:cfRule>
          <x14:cfRule type="cellIs" priority="1054" operator="equal" id="{7C214F42-5824-45C2-AED2-FF0CD311A8F4}">
            <xm:f>'Clash Matrix Legend'!$A$10</xm:f>
            <x14:dxf>
              <fill>
                <patternFill>
                  <bgColor theme="8" tint="-0.24994659260841701"/>
                </patternFill>
              </fill>
            </x14:dxf>
          </x14:cfRule>
          <x14:cfRule type="cellIs" priority="1050" operator="equal" id="{7F560BDC-42EA-4582-81EA-BC44770B5C81}">
            <xm:f>'Clash Matrix Legend'!$A$11</xm:f>
            <x14:dxf>
              <fill>
                <patternFill>
                  <bgColor theme="8" tint="-0.499984740745262"/>
                </patternFill>
              </fill>
            </x14:dxf>
          </x14:cfRule>
          <x14:cfRule type="cellIs" priority="1045" operator="equal" id="{93E6BDF2-769E-4D5A-85C6-7C6CF94F574D}">
            <xm:f>'Clash Matrix Legend'!#REF!</xm:f>
            <x14:dxf>
              <fill>
                <patternFill>
                  <bgColor theme="8" tint="0.79998168889431442"/>
                </patternFill>
              </fill>
            </x14:dxf>
          </x14:cfRule>
          <x14:cfRule type="cellIs" priority="1044" operator="equal" id="{8AE84CEA-0026-4A13-AAE3-FC9A8A18EF64}">
            <xm:f>'Clash Matrix Legend'!$A$9</xm:f>
            <x14:dxf>
              <fill>
                <patternFill>
                  <bgColor theme="8" tint="0.59996337778862885"/>
                </patternFill>
              </fill>
            </x14:dxf>
          </x14:cfRule>
          <x14:cfRule type="cellIs" priority="1043" operator="equal" id="{0284C39A-BD54-42C9-B891-35719F3457DB}">
            <xm:f>'Clash Matrix Legend'!$A$10</xm:f>
            <x14:dxf>
              <fill>
                <patternFill>
                  <bgColor theme="8" tint="-0.24994659260841701"/>
                </patternFill>
              </fill>
            </x14:dxf>
          </x14:cfRule>
          <x14:cfRule type="cellIs" priority="1039" operator="equal" id="{B78D8CC8-69CA-49FD-B561-09A1A21A4BBB}">
            <xm:f>'Clash Matrix Legend'!$A$11</xm:f>
            <x14:dxf>
              <fill>
                <patternFill>
                  <bgColor theme="8" tint="-0.499984740745262"/>
                </patternFill>
              </fill>
            </x14:dxf>
          </x14:cfRule>
          <x14:cfRule type="cellIs" priority="1038" operator="equal" id="{AC9762B5-B1CA-486B-ADDC-3881D20CF359}">
            <xm:f>'Clash Matrix Legend'!#REF!</xm:f>
            <x14:dxf>
              <fill>
                <patternFill>
                  <bgColor theme="8" tint="0.79998168889431442"/>
                </patternFill>
              </fill>
            </x14:dxf>
          </x14:cfRule>
          <x14:cfRule type="cellIs" priority="1037" operator="equal" id="{755D0D41-43CE-46D9-BD15-FACDA2EEB688}">
            <xm:f>'Clash Matrix Legend'!$A$9</xm:f>
            <x14:dxf>
              <fill>
                <patternFill>
                  <bgColor theme="8" tint="0.59996337778862885"/>
                </patternFill>
              </fill>
            </x14:dxf>
          </x14:cfRule>
          <x14:cfRule type="cellIs" priority="1036" operator="equal" id="{716D0C0A-5B5F-4BBF-970E-F19C5F9239B5}">
            <xm:f>'Clash Matrix Legend'!$A$10</xm:f>
            <x14:dxf>
              <fill>
                <patternFill>
                  <bgColor theme="8" tint="-0.24994659260841701"/>
                </patternFill>
              </fill>
            </x14:dxf>
          </x14:cfRule>
          <x14:cfRule type="cellIs" priority="1028" operator="equal" id="{2E2F0B8F-23BD-49DC-9598-32478D7FA2E0}">
            <xm:f>'Clash Matrix Legend'!#REF!</xm:f>
            <x14:dxf>
              <fill>
                <patternFill>
                  <bgColor theme="8" tint="0.79998168889431442"/>
                </patternFill>
              </fill>
            </x14:dxf>
          </x14:cfRule>
          <x14:cfRule type="cellIs" priority="1027" operator="equal" id="{483D03DE-7E29-4206-9164-D25E67C617C7}">
            <xm:f>'Clash Matrix Legend'!$A$9</xm:f>
            <x14:dxf>
              <fill>
                <patternFill>
                  <bgColor theme="8" tint="0.59996337778862885"/>
                </patternFill>
              </fill>
            </x14:dxf>
          </x14:cfRule>
          <x14:cfRule type="cellIs" priority="1026" operator="equal" id="{CE8EC93C-D3EF-4C5B-AF0A-6DAAC6DC3098}">
            <xm:f>'Clash Matrix Legend'!$A$10</xm:f>
            <x14:dxf>
              <fill>
                <patternFill>
                  <bgColor theme="8" tint="-0.24994659260841701"/>
                </patternFill>
              </fill>
            </x14:dxf>
          </x14:cfRule>
          <x14:cfRule type="cellIs" priority="1023" operator="equal" id="{AEAA9590-3B55-4A08-93ED-2415D0C0BA13}">
            <xm:f>'Clash Matrix Legend'!#REF!</xm:f>
            <x14:dxf>
              <fill>
                <patternFill>
                  <bgColor theme="8" tint="0.79998168889431442"/>
                </patternFill>
              </fill>
            </x14:dxf>
          </x14:cfRule>
          <x14:cfRule type="cellIs" priority="1022" operator="equal" id="{CC0462D9-7CAE-4974-A433-859CFC0DDE39}">
            <xm:f>'Clash Matrix Legend'!$A$9</xm:f>
            <x14:dxf>
              <fill>
                <patternFill>
                  <bgColor theme="8" tint="0.59996337778862885"/>
                </patternFill>
              </fill>
            </x14:dxf>
          </x14:cfRule>
          <x14:cfRule type="cellIs" priority="1021" operator="equal" id="{92076747-9A6B-4F7F-8A40-797297B26387}">
            <xm:f>'Clash Matrix Legend'!$A$10</xm:f>
            <x14:dxf>
              <fill>
                <patternFill>
                  <bgColor theme="8" tint="-0.24994659260841701"/>
                </patternFill>
              </fill>
            </x14:dxf>
          </x14:cfRule>
          <x14:cfRule type="cellIs" priority="1013" operator="equal" id="{785874D9-17D7-4BB3-AC73-1D5550EAD303}">
            <xm:f>'Clash Matrix Legend'!$A$11</xm:f>
            <x14:dxf>
              <fill>
                <patternFill>
                  <bgColor theme="8" tint="-0.499984740745262"/>
                </patternFill>
              </fill>
            </x14:dxf>
          </x14:cfRule>
          <x14:cfRule type="cellIs" priority="1010" operator="equal" id="{CE250489-FAAB-4B36-8CBB-C04D968F91B8}">
            <xm:f>'Clash Matrix Legend'!#REF!</xm:f>
            <x14:dxf>
              <fill>
                <patternFill>
                  <bgColor theme="8" tint="0.79998168889431442"/>
                </patternFill>
              </fill>
            </x14:dxf>
          </x14:cfRule>
          <x14:cfRule type="cellIs" priority="1009" operator="equal" id="{5540FD3E-99F9-4F10-87B0-2AA9636AFF6F}">
            <xm:f>'Clash Matrix Legend'!$A$9</xm:f>
            <x14:dxf>
              <fill>
                <patternFill>
                  <bgColor theme="8" tint="0.59996337778862885"/>
                </patternFill>
              </fill>
            </x14:dxf>
          </x14:cfRule>
          <x14:cfRule type="cellIs" priority="1008" operator="equal" id="{47177DD1-9481-47EB-92ED-5641F196E6C9}">
            <xm:f>'Clash Matrix Legend'!$A$10</xm:f>
            <x14:dxf>
              <fill>
                <patternFill>
                  <bgColor theme="8" tint="-0.24994659260841701"/>
                </patternFill>
              </fill>
            </x14:dxf>
          </x14:cfRule>
          <x14:cfRule type="cellIs" priority="1005" operator="equal" id="{C461B272-AB64-4BD3-9D19-AC9890912936}">
            <xm:f>'Clash Matrix Legend'!$A$11</xm:f>
            <x14:dxf>
              <fill>
                <patternFill>
                  <bgColor theme="8" tint="-0.499984740745262"/>
                </patternFill>
              </fill>
            </x14:dxf>
          </x14:cfRule>
          <x14:cfRule type="cellIs" priority="987" operator="equal" id="{60420B9F-36B6-41BB-8B30-3FA9A8CBE5D4}">
            <xm:f>'Clash Matrix Legend'!#REF!</xm:f>
            <x14:dxf>
              <fill>
                <patternFill>
                  <bgColor theme="8" tint="0.79998168889431442"/>
                </patternFill>
              </fill>
            </x14:dxf>
          </x14:cfRule>
          <xm:sqref>AL73:AM73</xm:sqref>
        </x14:conditionalFormatting>
        <x14:conditionalFormatting xmlns:xm="http://schemas.microsoft.com/office/excel/2006/main">
          <x14:cfRule type="cellIs" priority="2021" operator="equal" id="{D700CE8E-FC01-4971-82A1-5DDE7C657020}">
            <xm:f>'Clash Matrix Legend'!$A$11</xm:f>
            <x14:dxf>
              <fill>
                <patternFill>
                  <bgColor theme="8" tint="-0.499984740745262"/>
                </patternFill>
              </fill>
            </x14:dxf>
          </x14:cfRule>
          <x14:cfRule type="cellIs" priority="2027" operator="equal" id="{3705617C-3C8A-43CC-A959-ED1399AD2E3D}">
            <xm:f>'Clash Matrix Legend'!#REF!</xm:f>
            <x14:dxf>
              <fill>
                <patternFill>
                  <bgColor theme="8" tint="0.79998168889431442"/>
                </patternFill>
              </fill>
            </x14:dxf>
          </x14:cfRule>
          <x14:cfRule type="cellIs" priority="2026" operator="equal" id="{40E2C8E5-72E4-4331-9377-DB30080F2E9D}">
            <xm:f>'Clash Matrix Legend'!$A$9</xm:f>
            <x14:dxf>
              <fill>
                <patternFill>
                  <bgColor theme="8" tint="0.59996337778862885"/>
                </patternFill>
              </fill>
            </x14:dxf>
          </x14:cfRule>
          <x14:cfRule type="cellIs" priority="2025" operator="equal" id="{4FDE5F31-ABE0-4E41-9A2B-CE18B4DDDDE6}">
            <xm:f>'Clash Matrix Legend'!$A$10</xm:f>
            <x14:dxf>
              <fill>
                <patternFill>
                  <bgColor theme="8" tint="-0.24994659260841701"/>
                </patternFill>
              </fill>
            </x14:dxf>
          </x14:cfRule>
          <x14:cfRule type="cellIs" priority="2031" operator="equal" id="{255B6513-23A6-4660-B20A-702D22D26877}">
            <xm:f>'Clash Matrix Legend'!$A$10</xm:f>
            <x14:dxf>
              <fill>
                <patternFill>
                  <bgColor theme="8" tint="-0.24994659260841701"/>
                </patternFill>
              </fill>
            </x14:dxf>
          </x14:cfRule>
          <x14:cfRule type="cellIs" priority="2032" operator="equal" id="{7769B24C-4552-4262-B2B5-C2746DDA4029}">
            <xm:f>'Clash Matrix Legend'!$A$9</xm:f>
            <x14:dxf>
              <fill>
                <patternFill>
                  <bgColor theme="8" tint="0.59996337778862885"/>
                </patternFill>
              </fill>
            </x14:dxf>
          </x14:cfRule>
          <x14:cfRule type="cellIs" priority="2033" operator="equal" id="{562600EF-4673-4BB2-9B1A-5E1E8FC4AF0C}">
            <xm:f>'Clash Matrix Legend'!#REF!</xm:f>
            <x14:dxf>
              <fill>
                <patternFill>
                  <bgColor theme="8" tint="0.79998168889431442"/>
                </patternFill>
              </fill>
            </x14:dxf>
          </x14:cfRule>
          <x14:cfRule type="cellIs" priority="2041" operator="equal" id="{498F8B2F-CE8D-4F8E-8C15-F115DDFC1FDE}">
            <xm:f>'Clash Matrix Legend'!$A$11</xm:f>
            <x14:dxf>
              <fill>
                <patternFill>
                  <bgColor theme="8" tint="-0.499984740745262"/>
                </patternFill>
              </fill>
            </x14:dxf>
          </x14:cfRule>
          <x14:cfRule type="cellIs" priority="2047" operator="equal" id="{DD1B5B7A-95AC-4E6A-A2C4-819DEB62993F}">
            <xm:f>'Clash Matrix Legend'!#REF!</xm:f>
            <x14:dxf>
              <fill>
                <patternFill>
                  <bgColor theme="8" tint="0.79998168889431442"/>
                </patternFill>
              </fill>
            </x14:dxf>
          </x14:cfRule>
          <x14:cfRule type="cellIs" priority="2046" operator="equal" id="{80EE5692-5E39-4117-9C95-502C5FDD7A97}">
            <xm:f>'Clash Matrix Legend'!$A$9</xm:f>
            <x14:dxf>
              <fill>
                <patternFill>
                  <bgColor theme="8" tint="0.59996337778862885"/>
                </patternFill>
              </fill>
            </x14:dxf>
          </x14:cfRule>
          <x14:cfRule type="cellIs" priority="2045" operator="equal" id="{784805FB-4CC0-4328-B307-A3BE8C603AE9}">
            <xm:f>'Clash Matrix Legend'!$A$10</xm:f>
            <x14:dxf>
              <fill>
                <patternFill>
                  <bgColor theme="8" tint="-0.24994659260841701"/>
                </patternFill>
              </fill>
            </x14:dxf>
          </x14:cfRule>
          <xm:sqref>AM57</xm:sqref>
        </x14:conditionalFormatting>
        <x14:conditionalFormatting xmlns:xm="http://schemas.microsoft.com/office/excel/2006/main">
          <x14:cfRule type="cellIs" priority="8393" operator="equal" id="{CA4A1C14-70B5-42A8-8348-1BA3F299A1E3}">
            <xm:f>'Clash Matrix Legend'!#REF!</xm:f>
            <x14:dxf>
              <fill>
                <patternFill>
                  <bgColor theme="8" tint="0.79998168889431442"/>
                </patternFill>
              </fill>
            </x14:dxf>
          </x14:cfRule>
          <x14:cfRule type="cellIs" priority="8392" operator="equal" id="{61C00DCA-F67C-487E-9D04-18907A48F7DA}">
            <xm:f>'Clash Matrix Legend'!$A$9</xm:f>
            <x14:dxf>
              <fill>
                <patternFill>
                  <bgColor theme="8" tint="0.59996337778862885"/>
                </patternFill>
              </fill>
            </x14:dxf>
          </x14:cfRule>
          <x14:cfRule type="cellIs" priority="8391" operator="equal" id="{B187CC4B-9DD2-495A-8221-2D82743A3DD1}">
            <xm:f>'Clash Matrix Legend'!$A$10</xm:f>
            <x14:dxf>
              <fill>
                <patternFill>
                  <bgColor theme="8" tint="-0.24994659260841701"/>
                </patternFill>
              </fill>
            </x14:dxf>
          </x14:cfRule>
          <x14:cfRule type="cellIs" priority="8388" operator="equal" id="{2999AADC-FCF1-4ABC-BBDB-C45199B93A35}">
            <xm:f>'Clash Matrix Legend'!$A$11</xm:f>
            <x14:dxf>
              <fill>
                <patternFill>
                  <bgColor theme="8" tint="-0.499984740745262"/>
                </patternFill>
              </fill>
            </x14:dxf>
          </x14:cfRule>
          <x14:cfRule type="cellIs" priority="8387" operator="equal" id="{181E390E-69B3-4E43-B8A3-D9D41F491DFB}">
            <xm:f>'Clash Matrix Legend'!#REF!</xm:f>
            <x14:dxf>
              <fill>
                <patternFill>
                  <bgColor theme="8" tint="0.79998168889431442"/>
                </patternFill>
              </fill>
            </x14:dxf>
          </x14:cfRule>
          <x14:cfRule type="cellIs" priority="8386" operator="equal" id="{3A13B0FC-EABC-4CDC-A7D2-22D4EEB82738}">
            <xm:f>'Clash Matrix Legend'!$A$9</xm:f>
            <x14:dxf>
              <fill>
                <patternFill>
                  <bgColor theme="8" tint="0.59996337778862885"/>
                </patternFill>
              </fill>
            </x14:dxf>
          </x14:cfRule>
          <x14:cfRule type="cellIs" priority="8385" operator="equal" id="{636D71FF-D96A-47B0-ACAD-F971495D0A12}">
            <xm:f>'Clash Matrix Legend'!$A$10</xm:f>
            <x14:dxf>
              <fill>
                <patternFill>
                  <bgColor theme="8" tint="-0.24994659260841701"/>
                </patternFill>
              </fill>
            </x14:dxf>
          </x14:cfRule>
          <x14:cfRule type="cellIs" priority="8382" operator="equal" id="{5A8299BE-2EC5-443D-9B9F-45E3EB3B0DC9}">
            <xm:f>'Clash Matrix Legend'!$A$11</xm:f>
            <x14:dxf>
              <fill>
                <patternFill>
                  <bgColor theme="8" tint="-0.499984740745262"/>
                </patternFill>
              </fill>
            </x14:dxf>
          </x14:cfRule>
          <x14:cfRule type="cellIs" priority="8380" operator="equal" id="{6840ED31-9F8E-4F80-AC8B-E396D73181BE}">
            <xm:f>'Clash Matrix Legend'!#REF!</xm:f>
            <x14:dxf>
              <fill>
                <patternFill>
                  <bgColor theme="8" tint="0.79998168889431442"/>
                </patternFill>
              </fill>
            </x14:dxf>
          </x14:cfRule>
          <x14:cfRule type="cellIs" priority="8379" operator="equal" id="{E65C0E86-87AF-44DF-8BC0-EB02036BB1CC}">
            <xm:f>'Clash Matrix Legend'!$A$9</xm:f>
            <x14:dxf>
              <fill>
                <patternFill>
                  <bgColor theme="8" tint="0.59996337778862885"/>
                </patternFill>
              </fill>
            </x14:dxf>
          </x14:cfRule>
          <x14:cfRule type="cellIs" priority="8378" operator="equal" id="{6E3F7621-33B7-4F45-80A1-9598F6365F71}">
            <xm:f>'Clash Matrix Legend'!$A$10</xm:f>
            <x14:dxf>
              <fill>
                <patternFill>
                  <bgColor theme="8" tint="-0.24994659260841701"/>
                </patternFill>
              </fill>
            </x14:dxf>
          </x14:cfRule>
          <x14:cfRule type="cellIs" priority="8431" operator="equal" id="{4EEA17E8-32FC-490E-959A-4B4549093F72}">
            <xm:f>'Clash Matrix Legend'!#REF!</xm:f>
            <x14:dxf>
              <fill>
                <patternFill>
                  <bgColor theme="8" tint="0.79998168889431442"/>
                </patternFill>
              </fill>
            </x14:dxf>
          </x14:cfRule>
          <x14:cfRule type="cellIs" priority="8412" operator="equal" id="{71DD886E-BE13-4BD3-8450-59388973A9D1}">
            <xm:f>'Clash Matrix Legend'!#REF!</xm:f>
            <x14:dxf>
              <fill>
                <patternFill>
                  <bgColor theme="8" tint="0.79998168889431442"/>
                </patternFill>
              </fill>
            </x14:dxf>
          </x14:cfRule>
          <x14:cfRule type="cellIs" priority="8418" operator="equal" id="{D9915725-60FA-4ED7-AF46-5CD78B331CA8}">
            <xm:f>'Clash Matrix Legend'!#REF!</xm:f>
            <x14:dxf>
              <fill>
                <patternFill>
                  <bgColor theme="8" tint="0.79998168889431442"/>
                </patternFill>
              </fill>
            </x14:dxf>
          </x14:cfRule>
          <x14:cfRule type="cellIs" priority="8417" operator="equal" id="{22DC9570-5378-4070-82E5-8309C2135775}">
            <xm:f>'Clash Matrix Legend'!$A$9</xm:f>
            <x14:dxf>
              <fill>
                <patternFill>
                  <bgColor theme="8" tint="0.59996337778862885"/>
                </patternFill>
              </fill>
            </x14:dxf>
          </x14:cfRule>
          <x14:cfRule type="cellIs" priority="8416" operator="equal" id="{23165E2B-AD38-43D5-BD48-09042373BD01}">
            <xm:f>'Clash Matrix Legend'!$A$10</xm:f>
            <x14:dxf>
              <fill>
                <patternFill>
                  <bgColor theme="8" tint="-0.24994659260841701"/>
                </patternFill>
              </fill>
            </x14:dxf>
          </x14:cfRule>
          <x14:cfRule type="cellIs" priority="8413" operator="equal" id="{F4B8C418-F5A7-4143-91DC-10F597BFDE8A}">
            <xm:f>'Clash Matrix Legend'!$A$11</xm:f>
            <x14:dxf>
              <fill>
                <patternFill>
                  <bgColor theme="8" tint="-0.499984740745262"/>
                </patternFill>
              </fill>
            </x14:dxf>
          </x14:cfRule>
          <x14:cfRule type="cellIs" priority="8411" operator="equal" id="{861457F0-7916-4B5A-8590-ADAD74CB6068}">
            <xm:f>'Clash Matrix Legend'!$A$9</xm:f>
            <x14:dxf>
              <fill>
                <patternFill>
                  <bgColor theme="8" tint="0.59996337778862885"/>
                </patternFill>
              </fill>
            </x14:dxf>
          </x14:cfRule>
          <x14:cfRule type="cellIs" priority="8410" operator="equal" id="{CF1BA1C3-5F25-4EFC-9AFD-224F0A06B6B4}">
            <xm:f>'Clash Matrix Legend'!$A$10</xm:f>
            <x14:dxf>
              <fill>
                <patternFill>
                  <bgColor theme="8" tint="-0.24994659260841701"/>
                </patternFill>
              </fill>
            </x14:dxf>
          </x14:cfRule>
          <x14:cfRule type="cellIs" priority="8407" operator="equal" id="{C21F086F-D1EE-4B29-B6D1-9225EE7ED7A5}">
            <xm:f>'Clash Matrix Legend'!$A$11</xm:f>
            <x14:dxf>
              <fill>
                <patternFill>
                  <bgColor theme="8" tint="-0.499984740745262"/>
                </patternFill>
              </fill>
            </x14:dxf>
          </x14:cfRule>
          <x14:cfRule type="cellIs" priority="8405" operator="equal" id="{1B195216-884B-4D3E-B8C4-1DE37350D7AE}">
            <xm:f>'Clash Matrix Legend'!#REF!</xm:f>
            <x14:dxf>
              <fill>
                <patternFill>
                  <bgColor theme="8" tint="0.79998168889431442"/>
                </patternFill>
              </fill>
            </x14:dxf>
          </x14:cfRule>
          <x14:cfRule type="cellIs" priority="8404" operator="equal" id="{FC2FEDFA-A397-477D-985F-C98CE3D74A36}">
            <xm:f>'Clash Matrix Legend'!$A$9</xm:f>
            <x14:dxf>
              <fill>
                <patternFill>
                  <bgColor theme="8" tint="0.59996337778862885"/>
                </patternFill>
              </fill>
            </x14:dxf>
          </x14:cfRule>
          <x14:cfRule type="cellIs" priority="8403" operator="equal" id="{BDD93919-0B26-45F0-9BA8-17AE7D262E8E}">
            <xm:f>'Clash Matrix Legend'!$A$10</xm:f>
            <x14:dxf>
              <fill>
                <patternFill>
                  <bgColor theme="8" tint="-0.24994659260841701"/>
                </patternFill>
              </fill>
            </x14:dxf>
          </x14:cfRule>
          <x14:cfRule type="cellIs" priority="8400" operator="equal" id="{D955188E-7B9E-444C-92DC-1ECE1C52071C}">
            <xm:f>'Clash Matrix Legend'!$A$11</xm:f>
            <x14:dxf>
              <fill>
                <patternFill>
                  <bgColor theme="8" tint="-0.499984740745262"/>
                </patternFill>
              </fill>
            </x14:dxf>
          </x14:cfRule>
          <x14:cfRule type="cellIs" priority="8425" operator="equal" id="{82970B97-E010-4BA7-8E4A-83233F336562}">
            <xm:f>'Clash Matrix Legend'!$A$11</xm:f>
            <x14:dxf>
              <fill>
                <patternFill>
                  <bgColor theme="8" tint="-0.499984740745262"/>
                </patternFill>
              </fill>
            </x14:dxf>
          </x14:cfRule>
          <x14:cfRule type="cellIs" priority="8429" operator="equal" id="{32BE7AEA-BA8F-4ABE-9051-6E60EAF48CFB}">
            <xm:f>'Clash Matrix Legend'!$A$10</xm:f>
            <x14:dxf>
              <fill>
                <patternFill>
                  <bgColor theme="8" tint="-0.24994659260841701"/>
                </patternFill>
              </fill>
            </x14:dxf>
          </x14:cfRule>
          <x14:cfRule type="cellIs" priority="8430" operator="equal" id="{896C44B5-6E89-40C4-8AA9-06D1AFFCD619}">
            <xm:f>'Clash Matrix Legend'!$A$9</xm:f>
            <x14:dxf>
              <fill>
                <patternFill>
                  <bgColor theme="8" tint="0.59996337778862885"/>
                </patternFill>
              </fill>
            </x14:dxf>
          </x14:cfRule>
          <xm:sqref>AM60</xm:sqref>
        </x14:conditionalFormatting>
        <x14:conditionalFormatting xmlns:xm="http://schemas.microsoft.com/office/excel/2006/main">
          <x14:cfRule type="cellIs" priority="8440" operator="equal" id="{6E5ECA49-201B-407C-BEBF-0DB6BCC8D73E}">
            <xm:f>'Clash Matrix Legend'!#REF!</xm:f>
            <x14:dxf>
              <fill>
                <patternFill>
                  <bgColor theme="8" tint="0.79998168889431442"/>
                </patternFill>
              </fill>
            </x14:dxf>
          </x14:cfRule>
          <x14:cfRule type="cellIs" priority="8449" operator="equal" id="{4A9B9DB5-16D6-48A5-85B6-CB7304FF17CC}">
            <xm:f>'Clash Matrix Legend'!#REF!</xm:f>
            <x14:dxf>
              <fill>
                <patternFill>
                  <bgColor theme="8" tint="0.79998168889431442"/>
                </patternFill>
              </fill>
            </x14:dxf>
          </x14:cfRule>
          <x14:cfRule type="cellIs" priority="8439" operator="equal" id="{A5AAED40-8D2A-4A4E-8A04-FC400099B5B5}">
            <xm:f>'Clash Matrix Legend'!$A$9</xm:f>
            <x14:dxf>
              <fill>
                <patternFill>
                  <bgColor theme="8" tint="0.59996337778862885"/>
                </patternFill>
              </fill>
            </x14:dxf>
          </x14:cfRule>
          <x14:cfRule type="cellIs" priority="8434" operator="equal" id="{BB57FD27-B861-4B7C-9099-95A3C2D2E341}">
            <xm:f>'Clash Matrix Legend'!$A$11</xm:f>
            <x14:dxf>
              <fill>
                <patternFill>
                  <bgColor theme="8" tint="-0.499984740745262"/>
                </patternFill>
              </fill>
            </x14:dxf>
          </x14:cfRule>
          <x14:cfRule type="cellIs" priority="8448" operator="equal" id="{E11EC97C-D25D-41D6-8181-B578D6C035D3}">
            <xm:f>'Clash Matrix Legend'!$A$9</xm:f>
            <x14:dxf>
              <fill>
                <patternFill>
                  <bgColor theme="8" tint="0.59996337778862885"/>
                </patternFill>
              </fill>
            </x14:dxf>
          </x14:cfRule>
          <x14:cfRule type="cellIs" priority="8447" operator="equal" id="{6429EFBC-FA91-4BA4-AB6B-D53349B971A3}">
            <xm:f>'Clash Matrix Legend'!$A$10</xm:f>
            <x14:dxf>
              <fill>
                <patternFill>
                  <bgColor theme="8" tint="-0.24994659260841701"/>
                </patternFill>
              </fill>
            </x14:dxf>
          </x14:cfRule>
          <x14:cfRule type="cellIs" priority="8438" operator="equal" id="{DAD88C24-9BF9-4F05-98F5-EADA70B8EC52}">
            <xm:f>'Clash Matrix Legend'!$A$10</xm:f>
            <x14:dxf>
              <fill>
                <patternFill>
                  <bgColor theme="8" tint="-0.24994659260841701"/>
                </patternFill>
              </fill>
            </x14:dxf>
          </x14:cfRule>
          <xm:sqref>AM60:AM61</xm:sqref>
        </x14:conditionalFormatting>
        <x14:conditionalFormatting xmlns:xm="http://schemas.microsoft.com/office/excel/2006/main">
          <x14:cfRule type="cellIs" priority="8443" operator="equal" id="{5A7A5DBE-0FA9-410D-9E4D-D2781F2CCC0A}">
            <xm:f>'Clash Matrix Legend'!$A$11</xm:f>
            <x14:dxf>
              <fill>
                <patternFill>
                  <bgColor theme="8" tint="-0.499984740745262"/>
                </patternFill>
              </fill>
            </x14:dxf>
          </x14:cfRule>
          <xm:sqref>AM60:AM62</xm:sqref>
        </x14:conditionalFormatting>
        <x14:conditionalFormatting xmlns:xm="http://schemas.microsoft.com/office/excel/2006/main">
          <x14:cfRule type="cellIs" priority="7551" operator="equal" id="{73D58614-E2CB-4655-ABBB-367BC8C0C1D2}">
            <xm:f>'Clash Matrix Legend'!$A$11</xm:f>
            <x14:dxf>
              <fill>
                <patternFill>
                  <bgColor theme="8" tint="-0.499984740745262"/>
                </patternFill>
              </fill>
            </x14:dxf>
          </x14:cfRule>
          <xm:sqref>AM60:AM64 AH62:AM63</xm:sqref>
        </x14:conditionalFormatting>
        <x14:conditionalFormatting xmlns:xm="http://schemas.microsoft.com/office/excel/2006/main">
          <x14:cfRule type="cellIs" priority="8373" operator="equal" id="{CE3D744A-9B7A-4CF9-87D0-2B7512DAD563}">
            <xm:f>'Clash Matrix Legend'!#REF!</xm:f>
            <x14:dxf>
              <fill>
                <patternFill>
                  <bgColor theme="8" tint="0.79998168889431442"/>
                </patternFill>
              </fill>
            </x14:dxf>
          </x14:cfRule>
          <x14:cfRule type="cellIs" priority="8371" operator="equal" id="{566AC53E-F78E-405C-A848-6657326319A7}">
            <xm:f>'Clash Matrix Legend'!$A$10</xm:f>
            <x14:dxf>
              <fill>
                <patternFill>
                  <bgColor theme="8" tint="-0.24994659260841701"/>
                </patternFill>
              </fill>
            </x14:dxf>
          </x14:cfRule>
          <x14:cfRule type="cellIs" priority="8372" operator="equal" id="{AC096D97-03F0-4050-BC2D-316EFCBDB3D6}">
            <xm:f>'Clash Matrix Legend'!$A$9</xm:f>
            <x14:dxf>
              <fill>
                <patternFill>
                  <bgColor theme="8" tint="0.59996337778862885"/>
                </patternFill>
              </fill>
            </x14:dxf>
          </x14:cfRule>
          <xm:sqref>AM61</xm:sqref>
        </x14:conditionalFormatting>
        <x14:conditionalFormatting xmlns:xm="http://schemas.microsoft.com/office/excel/2006/main">
          <x14:cfRule type="cellIs" priority="8470" operator="equal" id="{3DC3BA6C-240E-4604-BB7A-89B58FC204CE}">
            <xm:f>'Clash Matrix Legend'!$A$10</xm:f>
            <x14:dxf>
              <fill>
                <patternFill>
                  <bgColor theme="8" tint="-0.24994659260841701"/>
                </patternFill>
              </fill>
            </x14:dxf>
          </x14:cfRule>
          <x14:cfRule type="cellIs" priority="8471" operator="equal" id="{1AF9583E-243D-4B5E-9DC2-00FDEBACCE6E}">
            <xm:f>'Clash Matrix Legend'!$A$9</xm:f>
            <x14:dxf>
              <fill>
                <patternFill>
                  <bgColor theme="8" tint="0.59996337778862885"/>
                </patternFill>
              </fill>
            </x14:dxf>
          </x14:cfRule>
          <x14:cfRule type="cellIs" priority="8472" operator="equal" id="{453F12EC-DD9A-49E2-8B32-ABDCB66391A0}">
            <xm:f>'Clash Matrix Legend'!#REF!</xm:f>
            <x14:dxf>
              <fill>
                <patternFill>
                  <bgColor theme="8" tint="0.79998168889431442"/>
                </patternFill>
              </fill>
            </x14:dxf>
          </x14:cfRule>
          <xm:sqref>AM62</xm:sqref>
        </x14:conditionalFormatting>
        <x14:conditionalFormatting xmlns:xm="http://schemas.microsoft.com/office/excel/2006/main">
          <x14:cfRule type="cellIs" priority="3198" operator="equal" id="{540D7C49-BE6B-4529-BEF1-347A51A70040}">
            <xm:f>'Clash Matrix Legend'!$A$11</xm:f>
            <x14:dxf>
              <fill>
                <patternFill>
                  <bgColor theme="8" tint="-0.499984740745262"/>
                </patternFill>
              </fill>
            </x14:dxf>
          </x14:cfRule>
          <xm:sqref>AM65:AM71</xm:sqref>
        </x14:conditionalFormatting>
        <x14:conditionalFormatting xmlns:xm="http://schemas.microsoft.com/office/excel/2006/main">
          <x14:cfRule type="cellIs" priority="8479" operator="equal" id="{9C420A79-453D-4665-B546-B7F4437DCCED}">
            <xm:f>'Clash Matrix Legend'!$A$11</xm:f>
            <x14:dxf>
              <fill>
                <patternFill>
                  <bgColor theme="8" tint="-0.499984740745262"/>
                </patternFill>
              </fill>
            </x14:dxf>
          </x14:cfRule>
          <x14:cfRule type="cellIs" priority="8483" operator="equal" id="{445973F0-1965-4A9A-B4B0-E17F78DC263B}">
            <xm:f>'Clash Matrix Legend'!$A$10</xm:f>
            <x14:dxf>
              <fill>
                <patternFill>
                  <bgColor theme="8" tint="-0.24994659260841701"/>
                </patternFill>
              </fill>
            </x14:dxf>
          </x14:cfRule>
          <x14:cfRule type="cellIs" priority="8484" operator="equal" id="{A7BADCDF-5F7E-48DB-B438-78B98D54FA0F}">
            <xm:f>'Clash Matrix Legend'!$A$9</xm:f>
            <x14:dxf>
              <fill>
                <patternFill>
                  <bgColor theme="8" tint="0.59996337778862885"/>
                </patternFill>
              </fill>
            </x14:dxf>
          </x14:cfRule>
          <x14:cfRule type="cellIs" priority="8485" operator="equal" id="{49F725DF-7432-4A99-A0BD-30B213005CAC}">
            <xm:f>'Clash Matrix Legend'!#REF!</xm:f>
            <x14:dxf>
              <fill>
                <patternFill>
                  <bgColor theme="8" tint="0.79998168889431442"/>
                </patternFill>
              </fill>
            </x14:dxf>
          </x14:cfRule>
          <x14:cfRule type="cellIs" priority="8491" operator="equal" id="{5CAD3061-FB09-4A3B-9469-E22885461882}">
            <xm:f>'Clash Matrix Legend'!$A$11</xm:f>
            <x14:dxf>
              <fill>
                <patternFill>
                  <bgColor theme="8" tint="-0.499984740745262"/>
                </patternFill>
              </fill>
            </x14:dxf>
          </x14:cfRule>
          <x14:cfRule type="cellIs" priority="8495" operator="equal" id="{18CFCB26-B8DE-47F3-BE78-1C565C6C452F}">
            <xm:f>'Clash Matrix Legend'!$A$10</xm:f>
            <x14:dxf>
              <fill>
                <patternFill>
                  <bgColor theme="8" tint="-0.24994659260841701"/>
                </patternFill>
              </fill>
            </x14:dxf>
          </x14:cfRule>
          <x14:cfRule type="cellIs" priority="8496" operator="equal" id="{16FC6F83-0F49-4797-A4F5-1978FB1D18C7}">
            <xm:f>'Clash Matrix Legend'!$A$9</xm:f>
            <x14:dxf>
              <fill>
                <patternFill>
                  <bgColor theme="8" tint="0.59996337778862885"/>
                </patternFill>
              </fill>
            </x14:dxf>
          </x14:cfRule>
          <x14:cfRule type="cellIs" priority="8497" operator="equal" id="{1DD3B9F0-DBD2-4234-8828-C4F5ADA89C95}">
            <xm:f>'Clash Matrix Legend'!#REF!</xm:f>
            <x14:dxf>
              <fill>
                <patternFill>
                  <bgColor theme="8" tint="0.79998168889431442"/>
                </patternFill>
              </fill>
            </x14:dxf>
          </x14:cfRule>
          <xm:sqref>AM66:AM67</xm:sqref>
        </x14:conditionalFormatting>
        <x14:conditionalFormatting xmlns:xm="http://schemas.microsoft.com/office/excel/2006/main">
          <x14:cfRule type="cellIs" priority="3192" operator="equal" id="{1D4D317C-315E-4D1A-BACA-4283D272D809}">
            <xm:f>'Clash Matrix Legend'!$A$11</xm:f>
            <x14:dxf>
              <fill>
                <patternFill>
                  <bgColor theme="8" tint="-0.499984740745262"/>
                </patternFill>
              </fill>
            </x14:dxf>
          </x14:cfRule>
          <x14:cfRule type="cellIs" priority="3197" operator="equal" id="{6027E3C1-8718-4336-BBF9-1EFE065DDD28}">
            <xm:f>'Clash Matrix Legend'!#REF!</xm:f>
            <x14:dxf>
              <fill>
                <patternFill>
                  <bgColor theme="8" tint="0.79998168889431442"/>
                </patternFill>
              </fill>
            </x14:dxf>
          </x14:cfRule>
          <x14:cfRule type="cellIs" priority="3204" operator="equal" id="{6982B4D9-0679-41FE-80DE-A368760DEB4C}">
            <xm:f>'Clash Matrix Legend'!#REF!</xm:f>
            <x14:dxf>
              <fill>
                <patternFill>
                  <bgColor theme="8" tint="0.79998168889431442"/>
                </patternFill>
              </fill>
            </x14:dxf>
          </x14:cfRule>
          <x14:cfRule type="cellIs" priority="3196" operator="equal" id="{F5F86603-742F-4F5D-B545-9906A3F6ADCE}">
            <xm:f>'Clash Matrix Legend'!$A$9</xm:f>
            <x14:dxf>
              <fill>
                <patternFill>
                  <bgColor theme="8" tint="0.59996337778862885"/>
                </patternFill>
              </fill>
            </x14:dxf>
          </x14:cfRule>
          <x14:cfRule type="cellIs" priority="3195" operator="equal" id="{3A3D7F7B-1112-43A5-998B-1AE4F3CA5C5D}">
            <xm:f>'Clash Matrix Legend'!$A$10</xm:f>
            <x14:dxf>
              <fill>
                <patternFill>
                  <bgColor theme="8" tint="-0.24994659260841701"/>
                </patternFill>
              </fill>
            </x14:dxf>
          </x14:cfRule>
          <x14:cfRule type="cellIs" priority="3203" operator="equal" id="{4D6DE810-32C1-4971-9C0A-1E617B9ECFA8}">
            <xm:f>'Clash Matrix Legend'!$A$9</xm:f>
            <x14:dxf>
              <fill>
                <patternFill>
                  <bgColor theme="8" tint="0.59996337778862885"/>
                </patternFill>
              </fill>
            </x14:dxf>
          </x14:cfRule>
          <x14:cfRule type="cellIs" priority="3202" operator="equal" id="{70C01A8A-7F42-456F-83AB-CD675BEABADD}">
            <xm:f>'Clash Matrix Legend'!$A$10</xm:f>
            <x14:dxf>
              <fill>
                <patternFill>
                  <bgColor theme="8" tint="-0.24994659260841701"/>
                </patternFill>
              </fill>
            </x14:dxf>
          </x14:cfRule>
          <xm:sqref>AM66:AM71</xm:sqref>
        </x14:conditionalFormatting>
        <x14:conditionalFormatting xmlns:xm="http://schemas.microsoft.com/office/excel/2006/main">
          <x14:cfRule type="cellIs" priority="8524" operator="equal" id="{0EB17B01-1A12-4246-A54A-D1B96BE2499B}">
            <xm:f>'Clash Matrix Legend'!$A$11</xm:f>
            <x14:dxf>
              <fill>
                <patternFill>
                  <bgColor theme="8" tint="-0.499984740745262"/>
                </patternFill>
              </fill>
            </x14:dxf>
          </x14:cfRule>
          <xm:sqref>AM67:AM71</xm:sqref>
        </x14:conditionalFormatting>
        <x14:conditionalFormatting xmlns:xm="http://schemas.microsoft.com/office/excel/2006/main">
          <x14:cfRule type="cellIs" priority="3081" operator="equal" id="{02DABDEC-C1F1-4C84-AFA5-DA30C82A03E3}">
            <xm:f>'Clash Matrix Legend'!$A$10</xm:f>
            <x14:dxf>
              <fill>
                <patternFill>
                  <bgColor theme="8" tint="-0.24994659260841701"/>
                </patternFill>
              </fill>
            </x14:dxf>
          </x14:cfRule>
          <x14:cfRule type="cellIs" priority="3082" operator="equal" id="{698A92B7-E61E-458A-AB43-7E79E3082E29}">
            <xm:f>'Clash Matrix Legend'!$A$9</xm:f>
            <x14:dxf>
              <fill>
                <patternFill>
                  <bgColor theme="8" tint="0.59996337778862885"/>
                </patternFill>
              </fill>
            </x14:dxf>
          </x14:cfRule>
          <x14:cfRule type="cellIs" priority="3083" operator="equal" id="{762A1FFA-BF0B-4D6A-A6BA-298C26E51349}">
            <xm:f>'Clash Matrix Legend'!#REF!</xm:f>
            <x14:dxf>
              <fill>
                <patternFill>
                  <bgColor theme="8" tint="0.79998168889431442"/>
                </patternFill>
              </fill>
            </x14:dxf>
          </x14:cfRule>
          <x14:cfRule type="cellIs" priority="3077" operator="equal" id="{4C20F770-2CEC-436F-97B2-45F8CB57FFFD}">
            <xm:f>'Clash Matrix Legend'!$A$11</xm:f>
            <x14:dxf>
              <fill>
                <patternFill>
                  <bgColor theme="8" tint="-0.499984740745262"/>
                </patternFill>
              </fill>
            </x14:dxf>
          </x14:cfRule>
          <x14:cfRule type="cellIs" priority="3073" operator="equal" id="{6ECBBF33-9643-480A-B917-ED8ACEEFA5E9}">
            <xm:f>'Clash Matrix Legend'!#REF!</xm:f>
            <x14:dxf>
              <fill>
                <patternFill>
                  <bgColor theme="8" tint="0.79998168889431442"/>
                </patternFill>
              </fill>
            </x14:dxf>
          </x14:cfRule>
          <x14:cfRule type="cellIs" priority="3072" operator="equal" id="{AB3C647B-708F-4459-9814-4C4DF474C071}">
            <xm:f>'Clash Matrix Legend'!$A$9</xm:f>
            <x14:dxf>
              <fill>
                <patternFill>
                  <bgColor theme="8" tint="0.59996337778862885"/>
                </patternFill>
              </fill>
            </x14:dxf>
          </x14:cfRule>
          <x14:cfRule type="cellIs" priority="3071" operator="equal" id="{ED00647C-1A36-44CB-9857-69CE17967BFA}">
            <xm:f>'Clash Matrix Legend'!$A$10</xm:f>
            <x14:dxf>
              <fill>
                <patternFill>
                  <bgColor theme="8" tint="-0.24994659260841701"/>
                </patternFill>
              </fill>
            </x14:dxf>
          </x14:cfRule>
          <x14:cfRule type="cellIs" priority="3067" operator="equal" id="{8E2A0957-8864-40FC-8B20-F2B2C9EF3DC6}">
            <xm:f>'Clash Matrix Legend'!$A$11</xm:f>
            <x14:dxf>
              <fill>
                <patternFill>
                  <bgColor theme="8" tint="-0.499984740745262"/>
                </patternFill>
              </fill>
            </x14:dxf>
          </x14:cfRule>
          <x14:cfRule type="cellIs" priority="8528" operator="equal" id="{FD802B03-E7B4-431C-96C2-F7F304F2C70D}">
            <xm:f>'Clash Matrix Legend'!$A$10</xm:f>
            <x14:dxf>
              <fill>
                <patternFill>
                  <bgColor theme="8" tint="-0.24994659260841701"/>
                </patternFill>
              </fill>
            </x14:dxf>
          </x14:cfRule>
          <x14:cfRule type="cellIs" priority="8529" operator="equal" id="{51A5B31E-9B8B-4234-9DCD-2EFE707B8629}">
            <xm:f>'Clash Matrix Legend'!$A$9</xm:f>
            <x14:dxf>
              <fill>
                <patternFill>
                  <bgColor theme="8" tint="0.59996337778862885"/>
                </patternFill>
              </fill>
            </x14:dxf>
          </x14:cfRule>
          <x14:cfRule type="cellIs" priority="8530" operator="equal" id="{BFEB40DA-D5D7-4A91-A7D2-D2AE02D27F04}">
            <xm:f>'Clash Matrix Legend'!#REF!</xm:f>
            <x14:dxf>
              <fill>
                <patternFill>
                  <bgColor theme="8" tint="0.79998168889431442"/>
                </patternFill>
              </fill>
            </x14:dxf>
          </x14:cfRule>
          <xm:sqref>AM68:AM71</xm:sqref>
        </x14:conditionalFormatting>
        <x14:conditionalFormatting xmlns:xm="http://schemas.microsoft.com/office/excel/2006/main">
          <x14:cfRule type="cellIs" priority="3043" operator="equal" id="{E623C773-4F66-4734-821F-108B2388CA95}">
            <xm:f>'Clash Matrix Legend'!#REF!</xm:f>
            <x14:dxf>
              <fill>
                <patternFill>
                  <bgColor theme="8" tint="0.79998168889431442"/>
                </patternFill>
              </fill>
            </x14:dxf>
          </x14:cfRule>
          <x14:cfRule type="cellIs" priority="3046" operator="equal" id="{756CCCE0-0FA9-48DA-813E-CF4D6559C7AC}">
            <xm:f>'Clash Matrix Legend'!$A$10</xm:f>
            <x14:dxf>
              <fill>
                <patternFill>
                  <bgColor theme="8" tint="-0.24994659260841701"/>
                </patternFill>
              </fill>
            </x14:dxf>
          </x14:cfRule>
          <x14:cfRule type="cellIs" priority="3047" operator="equal" id="{C8919CF4-BF52-4B82-A10F-08EE15809253}">
            <xm:f>'Clash Matrix Legend'!$A$9</xm:f>
            <x14:dxf>
              <fill>
                <patternFill>
                  <bgColor theme="8" tint="0.59996337778862885"/>
                </patternFill>
              </fill>
            </x14:dxf>
          </x14:cfRule>
          <x14:cfRule type="cellIs" priority="3048" operator="equal" id="{00914500-CF8D-466F-BA8F-45728AD9BDE4}">
            <xm:f>'Clash Matrix Legend'!#REF!</xm:f>
            <x14:dxf>
              <fill>
                <patternFill>
                  <bgColor theme="8" tint="0.79998168889431442"/>
                </patternFill>
              </fill>
            </x14:dxf>
          </x14:cfRule>
          <x14:cfRule type="cellIs" priority="1389" operator="equal" id="{9477E014-A8CA-42D8-AD36-FDFC9210CC68}">
            <xm:f>'Clash Matrix Legend'!$A$11</xm:f>
            <x14:dxf>
              <fill>
                <patternFill>
                  <bgColor theme="8" tint="-0.499984740745262"/>
                </patternFill>
              </fill>
            </x14:dxf>
          </x14:cfRule>
          <x14:cfRule type="cellIs" priority="1385" operator="equal" id="{08B3105F-55AD-4E43-B305-3553D98B21C1}">
            <xm:f>'Clash Matrix Legend'!#REF!</xm:f>
            <x14:dxf>
              <fill>
                <patternFill>
                  <bgColor theme="8" tint="0.79998168889431442"/>
                </patternFill>
              </fill>
            </x14:dxf>
          </x14:cfRule>
          <x14:cfRule type="cellIs" priority="1384" operator="equal" id="{ED65D381-BC8C-4275-8C7A-619FA1EB6141}">
            <xm:f>'Clash Matrix Legend'!$A$9</xm:f>
            <x14:dxf>
              <fill>
                <patternFill>
                  <bgColor theme="8" tint="0.59996337778862885"/>
                </patternFill>
              </fill>
            </x14:dxf>
          </x14:cfRule>
          <x14:cfRule type="cellIs" priority="1383" operator="equal" id="{57DD4C5F-73DC-4D73-9B62-3F13D7550BE8}">
            <xm:f>'Clash Matrix Legend'!$A$10</xm:f>
            <x14:dxf>
              <fill>
                <patternFill>
                  <bgColor theme="8" tint="-0.24994659260841701"/>
                </patternFill>
              </fill>
            </x14:dxf>
          </x14:cfRule>
          <x14:cfRule type="cellIs" priority="1379" operator="equal" id="{F215E0E0-D40D-481B-B672-44F04C188CCF}">
            <xm:f>'Clash Matrix Legend'!$A$11</xm:f>
            <x14:dxf>
              <fill>
                <patternFill>
                  <bgColor theme="8" tint="-0.499984740745262"/>
                </patternFill>
              </fill>
            </x14:dxf>
          </x14:cfRule>
          <x14:cfRule type="cellIs" priority="1393" operator="equal" id="{ACE58214-6A20-43E5-B640-8216195778EC}">
            <xm:f>'Clash Matrix Legend'!$A$10</xm:f>
            <x14:dxf>
              <fill>
                <patternFill>
                  <bgColor theme="8" tint="-0.24994659260841701"/>
                </patternFill>
              </fill>
            </x14:dxf>
          </x14:cfRule>
          <x14:cfRule type="cellIs" priority="1394" operator="equal" id="{284CAAB5-3181-4B7B-A81C-86C050517E85}">
            <xm:f>'Clash Matrix Legend'!$A$9</xm:f>
            <x14:dxf>
              <fill>
                <patternFill>
                  <bgColor theme="8" tint="0.59996337778862885"/>
                </patternFill>
              </fill>
            </x14:dxf>
          </x14:cfRule>
          <x14:cfRule type="cellIs" priority="1395" operator="equal" id="{30DEA78E-8626-40F7-A5AC-E2672D46717A}">
            <xm:f>'Clash Matrix Legend'!#REF!</xm:f>
            <x14:dxf>
              <fill>
                <patternFill>
                  <bgColor theme="8" tint="0.79998168889431442"/>
                </patternFill>
              </fill>
            </x14:dxf>
          </x14:cfRule>
          <x14:cfRule type="cellIs" priority="3025" operator="equal" id="{F58D24F9-511A-41AD-B50E-8777671B991E}">
            <xm:f>'Clash Matrix Legend'!$A$11</xm:f>
            <x14:dxf>
              <fill>
                <patternFill>
                  <bgColor theme="8" tint="-0.499984740745262"/>
                </patternFill>
              </fill>
            </x14:dxf>
          </x14:cfRule>
          <x14:cfRule type="cellIs" priority="3028" operator="equal" id="{81A2B777-9333-4D3D-91B2-3EDCDBE08338}">
            <xm:f>'Clash Matrix Legend'!$A$10</xm:f>
            <x14:dxf>
              <fill>
                <patternFill>
                  <bgColor theme="8" tint="-0.24994659260841701"/>
                </patternFill>
              </fill>
            </x14:dxf>
          </x14:cfRule>
          <x14:cfRule type="cellIs" priority="3029" operator="equal" id="{337BCA2E-ECF6-4254-BC89-C7BBFB1BC8D2}">
            <xm:f>'Clash Matrix Legend'!$A$9</xm:f>
            <x14:dxf>
              <fill>
                <patternFill>
                  <bgColor theme="8" tint="0.59996337778862885"/>
                </patternFill>
              </fill>
            </x14:dxf>
          </x14:cfRule>
          <x14:cfRule type="cellIs" priority="3030" operator="equal" id="{76D6870A-E3AE-45C7-B924-0C0D7A439E5B}">
            <xm:f>'Clash Matrix Legend'!#REF!</xm:f>
            <x14:dxf>
              <fill>
                <patternFill>
                  <bgColor theme="8" tint="0.79998168889431442"/>
                </patternFill>
              </fill>
            </x14:dxf>
          </x14:cfRule>
          <x14:cfRule type="cellIs" priority="3033" operator="equal" id="{F4788A57-4618-4393-88D8-E180624FDD09}">
            <xm:f>'Clash Matrix Legend'!$A$11</xm:f>
            <x14:dxf>
              <fill>
                <patternFill>
                  <bgColor theme="8" tint="-0.499984740745262"/>
                </patternFill>
              </fill>
            </x14:dxf>
          </x14:cfRule>
          <x14:cfRule type="cellIs" priority="3037" operator="equal" id="{5EC55721-902C-4FD0-9202-25F96FA1EC99}">
            <xm:f>'Clash Matrix Legend'!$A$11</xm:f>
            <x14:dxf>
              <fill>
                <patternFill>
                  <bgColor theme="8" tint="-0.499984740745262"/>
                </patternFill>
              </fill>
            </x14:dxf>
          </x14:cfRule>
          <x14:cfRule type="cellIs" priority="3041" operator="equal" id="{D42B0C34-1530-4A0A-B997-0D20248C16BF}">
            <xm:f>'Clash Matrix Legend'!$A$10</xm:f>
            <x14:dxf>
              <fill>
                <patternFill>
                  <bgColor theme="8" tint="-0.24994659260841701"/>
                </patternFill>
              </fill>
            </x14:dxf>
          </x14:cfRule>
          <x14:cfRule type="cellIs" priority="3042" operator="equal" id="{F2C55D91-B4EE-4BEA-8FE7-EB6F73FF8512}">
            <xm:f>'Clash Matrix Legend'!$A$9</xm:f>
            <x14:dxf>
              <fill>
                <patternFill>
                  <bgColor theme="8" tint="0.59996337778862885"/>
                </patternFill>
              </fill>
            </x14:dxf>
          </x14:cfRule>
          <xm:sqref>AM69</xm:sqref>
        </x14:conditionalFormatting>
        <x14:conditionalFormatting xmlns:xm="http://schemas.microsoft.com/office/excel/2006/main">
          <x14:cfRule type="cellIs" priority="1449" operator="equal" id="{82F1CB39-28D1-478C-B5AB-2B1E43A26CA7}">
            <xm:f>'Clash Matrix Legend'!#REF!</xm:f>
            <x14:dxf>
              <fill>
                <patternFill>
                  <bgColor theme="8" tint="0.79998168889431442"/>
                </patternFill>
              </fill>
            </x14:dxf>
          </x14:cfRule>
          <x14:cfRule type="cellIs" priority="1448" operator="equal" id="{D77ECB12-3E9D-4FC0-99BC-925D8EE7221B}">
            <xm:f>'Clash Matrix Legend'!$A$9</xm:f>
            <x14:dxf>
              <fill>
                <patternFill>
                  <bgColor theme="8" tint="0.59996337778862885"/>
                </patternFill>
              </fill>
            </x14:dxf>
          </x14:cfRule>
          <x14:cfRule type="cellIs" priority="1447" operator="equal" id="{66634974-5697-466C-BEFE-59676CC0108F}">
            <xm:f>'Clash Matrix Legend'!$A$10</xm:f>
            <x14:dxf>
              <fill>
                <patternFill>
                  <bgColor theme="8" tint="-0.24994659260841701"/>
                </patternFill>
              </fill>
            </x14:dxf>
          </x14:cfRule>
          <x14:cfRule type="cellIs" priority="1443" operator="equal" id="{7FB1E93E-A63C-412F-A045-9C5C12C7009B}">
            <xm:f>'Clash Matrix Legend'!$A$11</xm:f>
            <x14:dxf>
              <fill>
                <patternFill>
                  <bgColor theme="8" tint="-0.499984740745262"/>
                </patternFill>
              </fill>
            </x14:dxf>
          </x14:cfRule>
          <xm:sqref>AM69:AM70</xm:sqref>
        </x14:conditionalFormatting>
        <x14:conditionalFormatting xmlns:xm="http://schemas.microsoft.com/office/excel/2006/main">
          <x14:cfRule type="cellIs" priority="1410" operator="equal" id="{BCE17C7C-6D28-433C-A806-05711174CF4E}">
            <xm:f>'Clash Matrix Legend'!$A$10</xm:f>
            <x14:dxf>
              <fill>
                <patternFill>
                  <bgColor theme="8" tint="0.59996337778862885"/>
                </patternFill>
              </fill>
            </x14:dxf>
          </x14:cfRule>
          <x14:cfRule type="cellIs" priority="1409" operator="equal" id="{13AAA963-15FD-42AE-ABEB-C80C7CB7C899}">
            <xm:f>'Clash Matrix Legend'!$A$11</xm:f>
            <x14:dxf>
              <fill>
                <patternFill>
                  <bgColor theme="8" tint="-0.24994659260841701"/>
                </patternFill>
              </fill>
            </x14:dxf>
          </x14:cfRule>
          <x14:cfRule type="cellIs" priority="1406" operator="equal" id="{6C693DD5-18D2-46EC-AC4E-0272ED61AAC5}">
            <xm:f>'Clash Matrix Legend'!$A$12</xm:f>
            <x14:dxf>
              <fill>
                <patternFill>
                  <bgColor theme="8" tint="-0.499984740745262"/>
                </patternFill>
              </fill>
            </x14:dxf>
          </x14:cfRule>
          <x14:cfRule type="cellIs" priority="1454" operator="equal" id="{CA12D345-7B4D-440B-92B4-47539DB7E56B}">
            <xm:f>'Clash Matrix Legend'!$A$10</xm:f>
            <x14:dxf>
              <fill>
                <patternFill>
                  <bgColor theme="8" tint="-0.24994659260841701"/>
                </patternFill>
              </fill>
            </x14:dxf>
          </x14:cfRule>
          <x14:cfRule type="cellIs" priority="1455" operator="equal" id="{45D6B1A9-6767-4F64-BF2A-3FCA2E3A3BEF}">
            <xm:f>'Clash Matrix Legend'!$A$9</xm:f>
            <x14:dxf>
              <fill>
                <patternFill>
                  <bgColor theme="8" tint="0.59996337778862885"/>
                </patternFill>
              </fill>
            </x14:dxf>
          </x14:cfRule>
          <x14:cfRule type="cellIs" priority="1456" operator="equal" id="{AD3C8A4B-0512-4AD0-A9BB-DD1FBEE47C81}">
            <xm:f>'Clash Matrix Legend'!#REF!</xm:f>
            <x14:dxf>
              <fill>
                <patternFill>
                  <bgColor theme="8" tint="0.79998168889431442"/>
                </patternFill>
              </fill>
            </x14:dxf>
          </x14:cfRule>
          <x14:cfRule type="cellIs" priority="1458" operator="equal" id="{E78471E3-4DB1-41F7-A89C-B21BD6BAE4B2}">
            <xm:f>'Clash Matrix Legend'!$A$11</xm:f>
            <x14:dxf>
              <fill>
                <patternFill>
                  <bgColor theme="8" tint="-0.499984740745262"/>
                </patternFill>
              </fill>
            </x14:dxf>
          </x14:cfRule>
          <x14:cfRule type="cellIs" priority="1462" operator="equal" id="{35DBE501-5A5F-4C05-9DCA-62182054CF57}">
            <xm:f>'Clash Matrix Legend'!$A$10</xm:f>
            <x14:dxf>
              <fill>
                <patternFill>
                  <bgColor theme="8" tint="-0.24994659260841701"/>
                </patternFill>
              </fill>
            </x14:dxf>
          </x14:cfRule>
          <x14:cfRule type="cellIs" priority="1463" operator="equal" id="{5C35EDB7-F990-4610-A781-3F34288ED9D9}">
            <xm:f>'Clash Matrix Legend'!$A$9</xm:f>
            <x14:dxf>
              <fill>
                <patternFill>
                  <bgColor theme="8" tint="0.59996337778862885"/>
                </patternFill>
              </fill>
            </x14:dxf>
          </x14:cfRule>
          <x14:cfRule type="cellIs" priority="1464" operator="equal" id="{6500A33D-B360-41AD-B171-D240AA708E5D}">
            <xm:f>'Clash Matrix Legend'!#REF!</xm:f>
            <x14:dxf>
              <fill>
                <patternFill>
                  <bgColor theme="8" tint="0.79998168889431442"/>
                </patternFill>
              </fill>
            </x14:dxf>
          </x14:cfRule>
          <x14:cfRule type="cellIs" priority="1469" operator="equal" id="{B3A239AE-ABBD-42C0-988D-09ED1868F2D9}">
            <xm:f>'Clash Matrix Legend'!$A$11</xm:f>
            <x14:dxf>
              <fill>
                <patternFill>
                  <bgColor theme="8" tint="-0.499984740745262"/>
                </patternFill>
              </fill>
            </x14:dxf>
          </x14:cfRule>
          <x14:cfRule type="cellIs" priority="1473" operator="equal" id="{5E1E6193-BF65-4DE2-9DCB-FABEE46AAC8B}">
            <xm:f>'Clash Matrix Legend'!$A$10</xm:f>
            <x14:dxf>
              <fill>
                <patternFill>
                  <bgColor theme="8" tint="-0.24994659260841701"/>
                </patternFill>
              </fill>
            </x14:dxf>
          </x14:cfRule>
          <x14:cfRule type="cellIs" priority="1474" operator="equal" id="{F5ECF80D-7FA9-4000-B2C8-3CC42F6F053F}">
            <xm:f>'Clash Matrix Legend'!$A$9</xm:f>
            <x14:dxf>
              <fill>
                <patternFill>
                  <bgColor theme="8" tint="0.59996337778862885"/>
                </patternFill>
              </fill>
            </x14:dxf>
          </x14:cfRule>
          <x14:cfRule type="cellIs" priority="1475" operator="equal" id="{10AF7DF2-0FBF-4712-8352-7F9D8417D0DD}">
            <xm:f>'Clash Matrix Legend'!#REF!</xm:f>
            <x14:dxf>
              <fill>
                <patternFill>
                  <bgColor theme="8" tint="0.79998168889431442"/>
                </patternFill>
              </fill>
            </x14:dxf>
          </x14:cfRule>
          <x14:cfRule type="cellIs" priority="1338" operator="equal" id="{B5795A07-FDEF-438D-87D9-B966006EECFA}">
            <xm:f>'Clash Matrix Legend'!$A$10</xm:f>
            <x14:dxf>
              <fill>
                <patternFill>
                  <bgColor theme="8" tint="-0.24994659260841701"/>
                </patternFill>
              </fill>
            </x14:dxf>
          </x14:cfRule>
          <x14:cfRule type="cellIs" priority="1430" operator="equal" id="{10F62FD8-2A14-4801-8E97-45B0A07F1A52}">
            <xm:f>'Clash Matrix Legend'!$A$9</xm:f>
            <x14:dxf>
              <fill>
                <patternFill>
                  <bgColor theme="8" tint="0.79998168889431442"/>
                </patternFill>
              </fill>
            </x14:dxf>
          </x14:cfRule>
          <x14:cfRule type="cellIs" priority="1429" operator="equal" id="{5DC7EDBA-4C6F-4AED-8EF6-2901912C612E}">
            <xm:f>'Clash Matrix Legend'!$A$10</xm:f>
            <x14:dxf>
              <fill>
                <patternFill>
                  <bgColor theme="8" tint="0.59996337778862885"/>
                </patternFill>
              </fill>
            </x14:dxf>
          </x14:cfRule>
          <x14:cfRule type="cellIs" priority="1368" operator="equal" id="{C40B5555-F2F1-43D7-A2F2-D5B84E1E0CF2}">
            <xm:f>'Clash Matrix Legend'!#REF!</xm:f>
            <x14:dxf>
              <fill>
                <patternFill>
                  <bgColor theme="8" tint="0.79998168889431442"/>
                </patternFill>
              </fill>
            </x14:dxf>
          </x14:cfRule>
          <x14:cfRule type="cellIs" priority="1367" operator="equal" id="{1788C059-0CF7-4F50-816B-E1A2B0C22726}">
            <xm:f>'Clash Matrix Legend'!$A$9</xm:f>
            <x14:dxf>
              <fill>
                <patternFill>
                  <bgColor theme="8" tint="0.59996337778862885"/>
                </patternFill>
              </fill>
            </x14:dxf>
          </x14:cfRule>
          <x14:cfRule type="cellIs" priority="1366" operator="equal" id="{93D8ADAC-4BD9-4003-88AB-D45B9761CEE0}">
            <xm:f>'Clash Matrix Legend'!$A$10</xm:f>
            <x14:dxf>
              <fill>
                <patternFill>
                  <bgColor theme="8" tint="-0.24994659260841701"/>
                </patternFill>
              </fill>
            </x14:dxf>
          </x14:cfRule>
          <x14:cfRule type="cellIs" priority="1451" operator="equal" id="{35C928A7-8738-4F78-ABF5-36C55C2B2993}">
            <xm:f>'Clash Matrix Legend'!$A$11</xm:f>
            <x14:dxf>
              <fill>
                <patternFill>
                  <bgColor theme="8" tint="-0.499984740745262"/>
                </patternFill>
              </fill>
            </x14:dxf>
          </x14:cfRule>
          <x14:cfRule type="cellIs" priority="1362" operator="equal" id="{7BC116A4-8ADE-4F6C-99F9-905495E1F52F}">
            <xm:f>'Clash Matrix Legend'!$A$11</xm:f>
            <x14:dxf>
              <fill>
                <patternFill>
                  <bgColor theme="8" tint="-0.499984740745262"/>
                </patternFill>
              </fill>
            </x14:dxf>
          </x14:cfRule>
          <x14:cfRule type="cellIs" priority="1428" operator="equal" id="{615AB201-C669-4FA8-B863-FA62E4B40C95}">
            <xm:f>'Clash Matrix Legend'!$A$11</xm:f>
            <x14:dxf>
              <fill>
                <patternFill>
                  <bgColor theme="8" tint="-0.24994659260841701"/>
                </patternFill>
              </fill>
            </x14:dxf>
          </x14:cfRule>
          <x14:cfRule type="cellIs" priority="1424" operator="equal" id="{FFAB3999-4AA5-49D5-A9E9-35091E19EB9F}">
            <xm:f>'Clash Matrix Legend'!$A$12</xm:f>
            <x14:dxf>
              <fill>
                <patternFill>
                  <bgColor theme="8" tint="-0.499984740745262"/>
                </patternFill>
              </fill>
            </x14:dxf>
          </x14:cfRule>
          <x14:cfRule type="cellIs" priority="1350" operator="equal" id="{81906553-17DF-41E8-A74C-BBC8497DE262}">
            <xm:f>'Clash Matrix Legend'!#REF!</xm:f>
            <x14:dxf>
              <fill>
                <patternFill>
                  <bgColor theme="8" tint="0.79998168889431442"/>
                </patternFill>
              </fill>
            </x14:dxf>
          </x14:cfRule>
          <x14:cfRule type="cellIs" priority="1349" operator="equal" id="{2E097A28-453C-440A-A7F0-44F7ED13D0B2}">
            <xm:f>'Clash Matrix Legend'!$A$9</xm:f>
            <x14:dxf>
              <fill>
                <patternFill>
                  <bgColor theme="8" tint="0.59996337778862885"/>
                </patternFill>
              </fill>
            </x14:dxf>
          </x14:cfRule>
          <x14:cfRule type="cellIs" priority="1348" operator="equal" id="{3D847612-E6F0-471D-88EA-9743934B5734}">
            <xm:f>'Clash Matrix Legend'!$A$10</xm:f>
            <x14:dxf>
              <fill>
                <patternFill>
                  <bgColor theme="8" tint="-0.24994659260841701"/>
                </patternFill>
              </fill>
            </x14:dxf>
          </x14:cfRule>
          <x14:cfRule type="cellIs" priority="1344" operator="equal" id="{50B5FC4E-3E08-4F9C-A5BC-0F157D13D5D6}">
            <xm:f>'Clash Matrix Legend'!$A$11</xm:f>
            <x14:dxf>
              <fill>
                <patternFill>
                  <bgColor theme="8" tint="-0.499984740745262"/>
                </patternFill>
              </fill>
            </x14:dxf>
          </x14:cfRule>
          <x14:cfRule type="cellIs" priority="1340" operator="equal" id="{FCD84654-7699-4E74-B9B9-3AAFFEBD27B2}">
            <xm:f>'Clash Matrix Legend'!#REF!</xm:f>
            <x14:dxf>
              <fill>
                <patternFill>
                  <bgColor theme="8" tint="0.79998168889431442"/>
                </patternFill>
              </fill>
            </x14:dxf>
          </x14:cfRule>
          <x14:cfRule type="cellIs" priority="1339" operator="equal" id="{54DBC314-4D97-466F-A2E5-EBC75C1F0ED5}">
            <xm:f>'Clash Matrix Legend'!$A$9</xm:f>
            <x14:dxf>
              <fill>
                <patternFill>
                  <bgColor theme="8" tint="0.59996337778862885"/>
                </patternFill>
              </fill>
            </x14:dxf>
          </x14:cfRule>
          <x14:cfRule type="cellIs" priority="1334" operator="equal" id="{610741AF-3299-4BA7-AD28-6EEB8E616311}">
            <xm:f>'Clash Matrix Legend'!$A$11</xm:f>
            <x14:dxf>
              <fill>
                <patternFill>
                  <bgColor theme="8" tint="-0.499984740745262"/>
                </patternFill>
              </fill>
            </x14:dxf>
          </x14:cfRule>
          <x14:cfRule type="cellIs" priority="1419" operator="equal" id="{33A530AD-8FA7-46D5-962D-05D8D3A8F4E6}">
            <xm:f>'Clash Matrix Legend'!$A$9</xm:f>
            <x14:dxf>
              <fill>
                <patternFill>
                  <bgColor theme="8" tint="0.79998168889431442"/>
                </patternFill>
              </fill>
            </x14:dxf>
          </x14:cfRule>
          <x14:cfRule type="cellIs" priority="1418" operator="equal" id="{2F76A1E7-C214-4DB0-B6AC-A4CADD208AB7}">
            <xm:f>'Clash Matrix Legend'!$A$10</xm:f>
            <x14:dxf>
              <fill>
                <patternFill>
                  <bgColor theme="8" tint="0.59996337778862885"/>
                </patternFill>
              </fill>
            </x14:dxf>
          </x14:cfRule>
          <x14:cfRule type="cellIs" priority="1417" operator="equal" id="{F7FEAF64-B037-4B45-AC3D-795AD79CA904}">
            <xm:f>'Clash Matrix Legend'!$A$11</xm:f>
            <x14:dxf>
              <fill>
                <patternFill>
                  <bgColor theme="8" tint="-0.24994659260841701"/>
                </patternFill>
              </fill>
            </x14:dxf>
          </x14:cfRule>
          <x14:cfRule type="cellIs" priority="1413" operator="equal" id="{1EBBEF0E-7219-4B7A-944D-4EE654B0E60F}">
            <xm:f>'Clash Matrix Legend'!$A$12</xm:f>
            <x14:dxf>
              <fill>
                <patternFill>
                  <bgColor theme="8" tint="-0.499984740745262"/>
                </patternFill>
              </fill>
            </x14:dxf>
          </x14:cfRule>
          <x14:cfRule type="cellIs" priority="1411" operator="equal" id="{2FA19B1F-902D-472C-AB00-84DF33F8C707}">
            <xm:f>'Clash Matrix Legend'!$A$9</xm:f>
            <x14:dxf>
              <fill>
                <patternFill>
                  <bgColor theme="8" tint="0.79998168889431442"/>
                </patternFill>
              </fill>
            </x14:dxf>
          </x14:cfRule>
          <xm:sqref>AM70</xm:sqref>
        </x14:conditionalFormatting>
        <x14:conditionalFormatting xmlns:xm="http://schemas.microsoft.com/office/excel/2006/main">
          <x14:cfRule type="cellIs" priority="2943" operator="equal" id="{88CC4D8E-77CB-4AEF-AC9F-A94433085259}">
            <xm:f>'Clash Matrix Legend'!$A$9</xm:f>
            <x14:dxf>
              <fill>
                <patternFill>
                  <bgColor theme="8" tint="0.59996337778862885"/>
                </patternFill>
              </fill>
            </x14:dxf>
          </x14:cfRule>
          <x14:cfRule type="cellIs" priority="2942" operator="equal" id="{E5A4F443-A7E2-4E23-B6F2-F7A0EE8A2383}">
            <xm:f>'Clash Matrix Legend'!$A$10</xm:f>
            <x14:dxf>
              <fill>
                <patternFill>
                  <bgColor theme="8" tint="-0.24994659260841701"/>
                </patternFill>
              </fill>
            </x14:dxf>
          </x14:cfRule>
          <x14:cfRule type="cellIs" priority="2944" operator="equal" id="{E90E1C71-2258-46E7-A507-92D0F9F8B66D}">
            <xm:f>'Clash Matrix Legend'!#REF!</xm:f>
            <x14:dxf>
              <fill>
                <patternFill>
                  <bgColor theme="8" tint="0.79998168889431442"/>
                </patternFill>
              </fill>
            </x14:dxf>
          </x14:cfRule>
          <xm:sqref>AM70:AM71</xm:sqref>
        </x14:conditionalFormatting>
        <x14:conditionalFormatting xmlns:xm="http://schemas.microsoft.com/office/excel/2006/main">
          <x14:cfRule type="cellIs" priority="2949" operator="equal" id="{3F3F53C7-E2CD-49DF-B749-688582070319}">
            <xm:f>'Clash Matrix Legend'!$A$9</xm:f>
            <x14:dxf>
              <fill>
                <patternFill>
                  <bgColor theme="8" tint="0.59996337778862885"/>
                </patternFill>
              </fill>
            </x14:dxf>
          </x14:cfRule>
          <x14:cfRule type="cellIs" priority="2950" operator="equal" id="{ACD99C28-7541-47C2-949E-732D4AFCCAA7}">
            <xm:f>'Clash Matrix Legend'!#REF!</xm:f>
            <x14:dxf>
              <fill>
                <patternFill>
                  <bgColor theme="8" tint="0.79998168889431442"/>
                </patternFill>
              </fill>
            </x14:dxf>
          </x14:cfRule>
          <x14:cfRule type="cellIs" priority="1311" operator="equal" id="{FDF5D3E8-87AB-4172-8E61-2407CED90105}">
            <xm:f>'Clash Matrix Legend'!#REF!</xm:f>
            <x14:dxf>
              <fill>
                <patternFill>
                  <bgColor theme="8" tint="0.79998168889431442"/>
                </patternFill>
              </fill>
            </x14:dxf>
          </x14:cfRule>
          <x14:cfRule type="cellIs" priority="1310" operator="equal" id="{F2506B06-B451-4B26-995E-BE711D9EC4C0}">
            <xm:f>'Clash Matrix Legend'!$A$9</xm:f>
            <x14:dxf>
              <fill>
                <patternFill>
                  <bgColor theme="8" tint="0.59996337778862885"/>
                </patternFill>
              </fill>
            </x14:dxf>
          </x14:cfRule>
          <x14:cfRule type="cellIs" priority="1309" operator="equal" id="{53719C33-DF26-4016-B9EF-C893F73D9764}">
            <xm:f>'Clash Matrix Legend'!$A$10</xm:f>
            <x14:dxf>
              <fill>
                <patternFill>
                  <bgColor theme="8" tint="-0.24994659260841701"/>
                </patternFill>
              </fill>
            </x14:dxf>
          </x14:cfRule>
          <x14:cfRule type="cellIs" priority="1305" operator="equal" id="{E20393EF-43E4-422F-BCE9-2E19B4B99E3A}">
            <xm:f>'Clash Matrix Legend'!$A$11</xm:f>
            <x14:dxf>
              <fill>
                <patternFill>
                  <bgColor theme="8" tint="-0.499984740745262"/>
                </patternFill>
              </fill>
            </x14:dxf>
          </x14:cfRule>
          <x14:cfRule type="cellIs" priority="2951" operator="equal" id="{2503BE52-CBB6-4DA5-9693-B5A011994DF9}">
            <xm:f>'Clash Matrix Legend'!$A$11</xm:f>
            <x14:dxf>
              <fill>
                <patternFill>
                  <bgColor theme="8" tint="-0.499984740745262"/>
                </patternFill>
              </fill>
            </x14:dxf>
          </x14:cfRule>
          <x14:cfRule type="cellIs" priority="1300" operator="equal" id="{514EBC14-36C4-48C3-A5AC-497A04AB280B}">
            <xm:f>'Clash Matrix Legend'!#REF!</xm:f>
            <x14:dxf>
              <fill>
                <patternFill>
                  <bgColor theme="8" tint="0.79998168889431442"/>
                </patternFill>
              </fill>
            </x14:dxf>
          </x14:cfRule>
          <x14:cfRule type="cellIs" priority="1299" operator="equal" id="{DC42AF5A-90B7-4284-914A-AB76C5B88D9D}">
            <xm:f>'Clash Matrix Legend'!$A$9</xm:f>
            <x14:dxf>
              <fill>
                <patternFill>
                  <bgColor theme="8" tint="0.59996337778862885"/>
                </patternFill>
              </fill>
            </x14:dxf>
          </x14:cfRule>
          <x14:cfRule type="cellIs" priority="1298" operator="equal" id="{17BC8A4B-A971-4C0B-B9BC-19A4E687F968}">
            <xm:f>'Clash Matrix Legend'!$A$10</xm:f>
            <x14:dxf>
              <fill>
                <patternFill>
                  <bgColor theme="8" tint="-0.24994659260841701"/>
                </patternFill>
              </fill>
            </x14:dxf>
          </x14:cfRule>
          <x14:cfRule type="cellIs" priority="1294" operator="equal" id="{93A3FBF8-BBA8-4E3B-84D9-7DE0DDCE5676}">
            <xm:f>'Clash Matrix Legend'!$A$11</xm:f>
            <x14:dxf>
              <fill>
                <patternFill>
                  <bgColor theme="8" tint="-0.499984740745262"/>
                </patternFill>
              </fill>
            </x14:dxf>
          </x14:cfRule>
          <x14:cfRule type="cellIs" priority="1292" operator="equal" id="{5EACFBA1-B186-484B-ABBA-734C533443D3}">
            <xm:f>'Clash Matrix Legend'!#REF!</xm:f>
            <x14:dxf>
              <fill>
                <patternFill>
                  <bgColor theme="8" tint="0.79998168889431442"/>
                </patternFill>
              </fill>
            </x14:dxf>
          </x14:cfRule>
          <x14:cfRule type="cellIs" priority="1291" operator="equal" id="{FA5298C4-0D53-4F27-8259-0B53AAECF80F}">
            <xm:f>'Clash Matrix Legend'!$A$9</xm:f>
            <x14:dxf>
              <fill>
                <patternFill>
                  <bgColor theme="8" tint="0.59996337778862885"/>
                </patternFill>
              </fill>
            </x14:dxf>
          </x14:cfRule>
          <x14:cfRule type="cellIs" priority="1290" operator="equal" id="{C19904B9-77AA-4A41-96C9-DD01678427A6}">
            <xm:f>'Clash Matrix Legend'!$A$10</xm:f>
            <x14:dxf>
              <fill>
                <patternFill>
                  <bgColor theme="8" tint="-0.24994659260841701"/>
                </patternFill>
              </fill>
            </x14:dxf>
          </x14:cfRule>
          <x14:cfRule type="cellIs" priority="1287" operator="equal" id="{76F9FC9A-C960-4A18-8B68-96DFE56A2815}">
            <xm:f>'Clash Matrix Legend'!$A$11</xm:f>
            <x14:dxf>
              <fill>
                <patternFill>
                  <bgColor theme="8" tint="-0.499984740745262"/>
                </patternFill>
              </fill>
            </x14:dxf>
          </x14:cfRule>
          <x14:cfRule type="cellIs" priority="1285" operator="equal" id="{D6427C3F-9EBF-47E5-9406-68B8C474074A}">
            <xm:f>'Clash Matrix Legend'!#REF!</xm:f>
            <x14:dxf>
              <fill>
                <patternFill>
                  <bgColor theme="8" tint="0.79998168889431442"/>
                </patternFill>
              </fill>
            </x14:dxf>
          </x14:cfRule>
          <x14:cfRule type="cellIs" priority="1284" operator="equal" id="{A0526D4B-FBE9-4F47-8EFB-2E4F10BC80B1}">
            <xm:f>'Clash Matrix Legend'!$A$9</xm:f>
            <x14:dxf>
              <fill>
                <patternFill>
                  <bgColor theme="8" tint="0.59996337778862885"/>
                </patternFill>
              </fill>
            </x14:dxf>
          </x14:cfRule>
          <x14:cfRule type="cellIs" priority="1283" operator="equal" id="{0B3BE694-E68C-48E7-9F3E-A862697613BA}">
            <xm:f>'Clash Matrix Legend'!$A$10</xm:f>
            <x14:dxf>
              <fill>
                <patternFill>
                  <bgColor theme="8" tint="-0.24994659260841701"/>
                </patternFill>
              </fill>
            </x14:dxf>
          </x14:cfRule>
          <x14:cfRule type="cellIs" priority="1279" operator="equal" id="{82196C34-E4A8-4229-8068-1187685E1B44}">
            <xm:f>'Clash Matrix Legend'!$A$11</xm:f>
            <x14:dxf>
              <fill>
                <patternFill>
                  <bgColor theme="8" tint="-0.499984740745262"/>
                </patternFill>
              </fill>
            </x14:dxf>
          </x14:cfRule>
          <x14:cfRule type="cellIs" priority="1266" operator="equal" id="{1036BF68-5DCC-4ECA-9E53-E9D07FADEDFF}">
            <xm:f>'Clash Matrix Legend'!$A$9</xm:f>
            <x14:dxf>
              <fill>
                <patternFill>
                  <bgColor theme="8" tint="0.79998168889431442"/>
                </patternFill>
              </fill>
            </x14:dxf>
          </x14:cfRule>
          <x14:cfRule type="cellIs" priority="1265" operator="equal" id="{5C290177-09F3-4A17-8CBE-17D5381D5559}">
            <xm:f>'Clash Matrix Legend'!$A$10</xm:f>
            <x14:dxf>
              <fill>
                <patternFill>
                  <bgColor theme="8" tint="0.59996337778862885"/>
                </patternFill>
              </fill>
            </x14:dxf>
          </x14:cfRule>
          <x14:cfRule type="cellIs" priority="1264" operator="equal" id="{62F96340-DF82-4A8D-97B1-AD8463150B0A}">
            <xm:f>'Clash Matrix Legend'!$A$11</xm:f>
            <x14:dxf>
              <fill>
                <patternFill>
                  <bgColor theme="8" tint="-0.24994659260841701"/>
                </patternFill>
              </fill>
            </x14:dxf>
          </x14:cfRule>
          <x14:cfRule type="cellIs" priority="1260" operator="equal" id="{B0DE7B50-62F4-445F-8B70-E0B55C9E2065}">
            <xm:f>'Clash Matrix Legend'!$A$12</xm:f>
            <x14:dxf>
              <fill>
                <patternFill>
                  <bgColor theme="8" tint="-0.499984740745262"/>
                </patternFill>
              </fill>
            </x14:dxf>
          </x14:cfRule>
          <x14:cfRule type="cellIs" priority="1255" operator="equal" id="{B6249D66-ED35-4293-A6F9-C79A14CE262B}">
            <xm:f>'Clash Matrix Legend'!$A$9</xm:f>
            <x14:dxf>
              <fill>
                <patternFill>
                  <bgColor theme="8" tint="0.79998168889431442"/>
                </patternFill>
              </fill>
            </x14:dxf>
          </x14:cfRule>
          <x14:cfRule type="cellIs" priority="1254" operator="equal" id="{3169EF08-17B4-4F63-9338-B75F4D6B3B6C}">
            <xm:f>'Clash Matrix Legend'!$A$10</xm:f>
            <x14:dxf>
              <fill>
                <patternFill>
                  <bgColor theme="8" tint="0.59996337778862885"/>
                </patternFill>
              </fill>
            </x14:dxf>
          </x14:cfRule>
          <x14:cfRule type="cellIs" priority="1253" operator="equal" id="{D5313B85-F4AE-4383-B61B-EB83F1CAC04E}">
            <xm:f>'Clash Matrix Legend'!$A$11</xm:f>
            <x14:dxf>
              <fill>
                <patternFill>
                  <bgColor theme="8" tint="-0.24994659260841701"/>
                </patternFill>
              </fill>
            </x14:dxf>
          </x14:cfRule>
          <x14:cfRule type="cellIs" priority="1249" operator="equal" id="{39F44084-B12E-45EA-B5D9-2166246004E1}">
            <xm:f>'Clash Matrix Legend'!$A$12</xm:f>
            <x14:dxf>
              <fill>
                <patternFill>
                  <bgColor theme="8" tint="-0.499984740745262"/>
                </patternFill>
              </fill>
            </x14:dxf>
          </x14:cfRule>
          <x14:cfRule type="cellIs" priority="1247" operator="equal" id="{36C11A61-2FB2-4A80-8362-B51A0C1492EB}">
            <xm:f>'Clash Matrix Legend'!$A$9</xm:f>
            <x14:dxf>
              <fill>
                <patternFill>
                  <bgColor theme="8" tint="0.79998168889431442"/>
                </patternFill>
              </fill>
            </x14:dxf>
          </x14:cfRule>
          <x14:cfRule type="cellIs" priority="1246" operator="equal" id="{190F8EFB-63F7-48F3-9201-C716C6808FB1}">
            <xm:f>'Clash Matrix Legend'!$A$10</xm:f>
            <x14:dxf>
              <fill>
                <patternFill>
                  <bgColor theme="8" tint="0.59996337778862885"/>
                </patternFill>
              </fill>
            </x14:dxf>
          </x14:cfRule>
          <x14:cfRule type="cellIs" priority="1245" operator="equal" id="{1C5B9051-A871-4330-AD16-993089267FE2}">
            <xm:f>'Clash Matrix Legend'!$A$11</xm:f>
            <x14:dxf>
              <fill>
                <patternFill>
                  <bgColor theme="8" tint="-0.24994659260841701"/>
                </patternFill>
              </fill>
            </x14:dxf>
          </x14:cfRule>
          <x14:cfRule type="cellIs" priority="1242" operator="equal" id="{FA85C601-C65F-4F6E-84FC-F198EF9AD20F}">
            <xm:f>'Clash Matrix Legend'!$A$12</xm:f>
            <x14:dxf>
              <fill>
                <patternFill>
                  <bgColor theme="8" tint="-0.499984740745262"/>
                </patternFill>
              </fill>
            </x14:dxf>
          </x14:cfRule>
          <x14:cfRule type="cellIs" priority="1241" operator="equal" id="{A0293FC9-1CD8-4678-BC15-2E2C6F258F24}">
            <xm:f>'Clash Matrix Legend'!#REF!</xm:f>
            <x14:dxf>
              <fill>
                <patternFill>
                  <bgColor theme="8" tint="0.79998168889431442"/>
                </patternFill>
              </fill>
            </x14:dxf>
          </x14:cfRule>
          <x14:cfRule type="cellIs" priority="1240" operator="equal" id="{A168DD6A-06FF-486E-9206-2559C30D8262}">
            <xm:f>'Clash Matrix Legend'!$A$9</xm:f>
            <x14:dxf>
              <fill>
                <patternFill>
                  <bgColor theme="8" tint="0.59996337778862885"/>
                </patternFill>
              </fill>
            </x14:dxf>
          </x14:cfRule>
          <x14:cfRule type="cellIs" priority="1239" operator="equal" id="{8FA941C2-66EE-4741-BE0D-3FD97FDBC358}">
            <xm:f>'Clash Matrix Legend'!$A$10</xm:f>
            <x14:dxf>
              <fill>
                <patternFill>
                  <bgColor theme="8" tint="-0.24994659260841701"/>
                </patternFill>
              </fill>
            </x14:dxf>
          </x14:cfRule>
          <x14:cfRule type="cellIs" priority="1235" operator="equal" id="{2ED67584-6835-4764-B782-AC1E3E0F8B24}">
            <xm:f>'Clash Matrix Legend'!$A$11</xm:f>
            <x14:dxf>
              <fill>
                <patternFill>
                  <bgColor theme="8" tint="-0.499984740745262"/>
                </patternFill>
              </fill>
            </x14:dxf>
          </x14:cfRule>
          <x14:cfRule type="cellIs" priority="2955" operator="equal" id="{539A687A-E203-4A49-98EA-1A092EBB050C}">
            <xm:f>'Clash Matrix Legend'!$A$10</xm:f>
            <x14:dxf>
              <fill>
                <patternFill>
                  <bgColor theme="8" tint="-0.24994659260841701"/>
                </patternFill>
              </fill>
            </x14:dxf>
          </x14:cfRule>
          <x14:cfRule type="cellIs" priority="2956" operator="equal" id="{7220FFB8-9974-41B7-B789-933BA15F86C3}">
            <xm:f>'Clash Matrix Legend'!$A$9</xm:f>
            <x14:dxf>
              <fill>
                <patternFill>
                  <bgColor theme="8" tint="0.59996337778862885"/>
                </patternFill>
              </fill>
            </x14:dxf>
          </x14:cfRule>
          <x14:cfRule type="cellIs" priority="2957" operator="equal" id="{660378FE-A0DF-44CF-B89D-3C8B6D481A9D}">
            <xm:f>'Clash Matrix Legend'!#REF!</xm:f>
            <x14:dxf>
              <fill>
                <patternFill>
                  <bgColor theme="8" tint="0.79998168889431442"/>
                </patternFill>
              </fill>
            </x14:dxf>
          </x14:cfRule>
          <x14:cfRule type="cellIs" priority="2962" operator="equal" id="{6904B8B1-4AC8-4B56-B882-B1D7EA62EF5C}">
            <xm:f>'Clash Matrix Legend'!$A$11</xm:f>
            <x14:dxf>
              <fill>
                <patternFill>
                  <bgColor theme="8" tint="-0.499984740745262"/>
                </patternFill>
              </fill>
            </x14:dxf>
          </x14:cfRule>
          <x14:cfRule type="cellIs" priority="2966" operator="equal" id="{A7EC8E6D-19B8-4B60-9368-01197B81FFD3}">
            <xm:f>'Clash Matrix Legend'!$A$10</xm:f>
            <x14:dxf>
              <fill>
                <patternFill>
                  <bgColor theme="8" tint="-0.24994659260841701"/>
                </patternFill>
              </fill>
            </x14:dxf>
          </x14:cfRule>
          <x14:cfRule type="cellIs" priority="2967" operator="equal" id="{10EFAD8B-8FB6-4ABD-9F9C-62FDA57125E1}">
            <xm:f>'Clash Matrix Legend'!$A$9</xm:f>
            <x14:dxf>
              <fill>
                <patternFill>
                  <bgColor theme="8" tint="0.59996337778862885"/>
                </patternFill>
              </fill>
            </x14:dxf>
          </x14:cfRule>
          <x14:cfRule type="cellIs" priority="2968" operator="equal" id="{B738DFC3-BADE-4008-A757-3B8CC0511D8C}">
            <xm:f>'Clash Matrix Legend'!#REF!</xm:f>
            <x14:dxf>
              <fill>
                <patternFill>
                  <bgColor theme="8" tint="0.79998168889431442"/>
                </patternFill>
              </fill>
            </x14:dxf>
          </x14:cfRule>
          <x14:cfRule type="cellIs" priority="2980" operator="equal" id="{ABCAE880-EE6A-47FB-9723-0656C3B767A4}">
            <xm:f>'Clash Matrix Legend'!$A$10</xm:f>
            <x14:dxf>
              <fill>
                <patternFill>
                  <bgColor theme="8" tint="-0.24994659260841701"/>
                </patternFill>
              </fill>
            </x14:dxf>
          </x14:cfRule>
          <x14:cfRule type="cellIs" priority="2981" operator="equal" id="{5556BD72-4D33-4892-AFA1-57F1C0E4BE60}">
            <xm:f>'Clash Matrix Legend'!$A$9</xm:f>
            <x14:dxf>
              <fill>
                <patternFill>
                  <bgColor theme="8" tint="0.59996337778862885"/>
                </patternFill>
              </fill>
            </x14:dxf>
          </x14:cfRule>
          <x14:cfRule type="cellIs" priority="2982" operator="equal" id="{82865074-CAB0-4DCE-86CE-AC6C42ACE368}">
            <xm:f>'Clash Matrix Legend'!#REF!</xm:f>
            <x14:dxf>
              <fill>
                <patternFill>
                  <bgColor theme="8" tint="0.79998168889431442"/>
                </patternFill>
              </fill>
            </x14:dxf>
          </x14:cfRule>
          <x14:cfRule type="cellIs" priority="2983" operator="equal" id="{156B8C42-D520-4749-B095-9B541C2605DA}">
            <xm:f>'Clash Matrix Legend'!$A$11</xm:f>
            <x14:dxf>
              <fill>
                <patternFill>
                  <bgColor theme="8" tint="-0.499984740745262"/>
                </patternFill>
              </fill>
            </x14:dxf>
          </x14:cfRule>
          <x14:cfRule type="cellIs" priority="2986" operator="equal" id="{92696BB2-3D8A-4EBA-9189-971B5E724FEC}">
            <xm:f>'Clash Matrix Legend'!$A$10</xm:f>
            <x14:dxf>
              <fill>
                <patternFill>
                  <bgColor theme="8" tint="-0.24994659260841701"/>
                </patternFill>
              </fill>
            </x14:dxf>
          </x14:cfRule>
          <x14:cfRule type="cellIs" priority="2987" operator="equal" id="{ABE3D581-2985-48DA-A790-1E715D0858F4}">
            <xm:f>'Clash Matrix Legend'!$A$9</xm:f>
            <x14:dxf>
              <fill>
                <patternFill>
                  <bgColor theme="8" tint="0.59996337778862885"/>
                </patternFill>
              </fill>
            </x14:dxf>
          </x14:cfRule>
          <x14:cfRule type="cellIs" priority="2988" operator="equal" id="{9F45CD53-8F6B-4E95-89E1-50E2FCA049B9}">
            <xm:f>'Clash Matrix Legend'!#REF!</xm:f>
            <x14:dxf>
              <fill>
                <patternFill>
                  <bgColor theme="8" tint="0.79998168889431442"/>
                </patternFill>
              </fill>
            </x14:dxf>
          </x14:cfRule>
          <x14:cfRule type="cellIs" priority="2989" operator="equal" id="{47A93DCD-44B4-40CD-849A-D72F711272C7}">
            <xm:f>'Clash Matrix Legend'!$A$11</xm:f>
            <x14:dxf>
              <fill>
                <patternFill>
                  <bgColor theme="8" tint="-0.499984740745262"/>
                </patternFill>
              </fill>
            </x14:dxf>
          </x14:cfRule>
          <x14:cfRule type="cellIs" priority="2993" operator="equal" id="{644EB45C-9CDE-40C9-AEB8-13B56BA418CE}">
            <xm:f>'Clash Matrix Legend'!$A$10</xm:f>
            <x14:dxf>
              <fill>
                <patternFill>
                  <bgColor theme="8" tint="-0.24994659260841701"/>
                </patternFill>
              </fill>
            </x14:dxf>
          </x14:cfRule>
          <x14:cfRule type="cellIs" priority="2994" operator="equal" id="{F6E2CC98-18D5-4EEE-8072-E83E2134E91B}">
            <xm:f>'Clash Matrix Legend'!$A$9</xm:f>
            <x14:dxf>
              <fill>
                <patternFill>
                  <bgColor theme="8" tint="0.59996337778862885"/>
                </patternFill>
              </fill>
            </x14:dxf>
          </x14:cfRule>
          <x14:cfRule type="cellIs" priority="2995" operator="equal" id="{19B05549-B638-4B2A-9024-C96803D56AC4}">
            <xm:f>'Clash Matrix Legend'!#REF!</xm:f>
            <x14:dxf>
              <fill>
                <patternFill>
                  <bgColor theme="8" tint="0.79998168889431442"/>
                </patternFill>
              </fill>
            </x14:dxf>
          </x14:cfRule>
          <x14:cfRule type="cellIs" priority="2997" operator="equal" id="{779A21DE-F1C4-46D9-860B-6FEB24E17B23}">
            <xm:f>'Clash Matrix Legend'!$A$11</xm:f>
            <x14:dxf>
              <fill>
                <patternFill>
                  <bgColor theme="8" tint="-0.499984740745262"/>
                </patternFill>
              </fill>
            </x14:dxf>
          </x14:cfRule>
          <x14:cfRule type="cellIs" priority="3001" operator="equal" id="{ECE09E1F-4F19-4EF2-A28F-DBDE4086B668}">
            <xm:f>'Clash Matrix Legend'!$A$10</xm:f>
            <x14:dxf>
              <fill>
                <patternFill>
                  <bgColor theme="8" tint="-0.24994659260841701"/>
                </patternFill>
              </fill>
            </x14:dxf>
          </x14:cfRule>
          <x14:cfRule type="cellIs" priority="3002" operator="equal" id="{8A58DC84-5BAE-45C9-9EB4-32FE8A009041}">
            <xm:f>'Clash Matrix Legend'!$A$9</xm:f>
            <x14:dxf>
              <fill>
                <patternFill>
                  <bgColor theme="8" tint="0.59996337778862885"/>
                </patternFill>
              </fill>
            </x14:dxf>
          </x14:cfRule>
          <x14:cfRule type="cellIs" priority="3003" operator="equal" id="{DCA7CC4D-A745-4CB5-8D0C-CC9DB2AAF78F}">
            <xm:f>'Clash Matrix Legend'!#REF!</xm:f>
            <x14:dxf>
              <fill>
                <patternFill>
                  <bgColor theme="8" tint="0.79998168889431442"/>
                </patternFill>
              </fill>
            </x14:dxf>
          </x14:cfRule>
          <x14:cfRule type="cellIs" priority="3005" operator="equal" id="{1E9DFF60-5DA9-4981-BC2F-11E5C5FAB6D9}">
            <xm:f>'Clash Matrix Legend'!$A$11</xm:f>
            <x14:dxf>
              <fill>
                <patternFill>
                  <bgColor theme="8" tint="-0.499984740745262"/>
                </patternFill>
              </fill>
            </x14:dxf>
          </x14:cfRule>
          <x14:cfRule type="cellIs" priority="3008" operator="equal" id="{3DCF836D-96B8-45EF-B2ED-F126C2A8E3A2}">
            <xm:f>'Clash Matrix Legend'!$A$10</xm:f>
            <x14:dxf>
              <fill>
                <patternFill>
                  <bgColor theme="8" tint="-0.24994659260841701"/>
                </patternFill>
              </fill>
            </x14:dxf>
          </x14:cfRule>
          <x14:cfRule type="cellIs" priority="3009" operator="equal" id="{AC65FF3E-1A66-4F57-99F8-1A058149DCAC}">
            <xm:f>'Clash Matrix Legend'!$A$9</xm:f>
            <x14:dxf>
              <fill>
                <patternFill>
                  <bgColor theme="8" tint="0.59996337778862885"/>
                </patternFill>
              </fill>
            </x14:dxf>
          </x14:cfRule>
          <x14:cfRule type="cellIs" priority="3010" operator="equal" id="{73D66EA5-B97B-4E21-99F7-D332B663E3E6}">
            <xm:f>'Clash Matrix Legend'!#REF!</xm:f>
            <x14:dxf>
              <fill>
                <patternFill>
                  <bgColor theme="8" tint="0.79998168889431442"/>
                </patternFill>
              </fill>
            </x14:dxf>
          </x14:cfRule>
          <x14:cfRule type="cellIs" priority="3013" operator="equal" id="{4E4BF24F-83F2-4129-AB47-479945C9A93C}">
            <xm:f>'Clash Matrix Legend'!$A$11</xm:f>
            <x14:dxf>
              <fill>
                <patternFill>
                  <bgColor theme="8" tint="-0.499984740745262"/>
                </patternFill>
              </fill>
            </x14:dxf>
          </x14:cfRule>
          <x14:cfRule type="cellIs" priority="3015" operator="equal" id="{6D636229-B821-411E-A365-F1A3B7714450}">
            <xm:f>'Clash Matrix Legend'!$A$11</xm:f>
            <x14:dxf>
              <fill>
                <patternFill>
                  <bgColor theme="8" tint="-0.499984740745262"/>
                </patternFill>
              </fill>
            </x14:dxf>
          </x14:cfRule>
          <x14:cfRule type="cellIs" priority="1223" operator="equal" id="{F2E0F5F6-0398-468F-8494-2FC8443A7BA5}">
            <xm:f>'Clash Matrix Legend'!#REF!</xm:f>
            <x14:dxf>
              <fill>
                <patternFill>
                  <bgColor theme="8" tint="0.79998168889431442"/>
                </patternFill>
              </fill>
            </x14:dxf>
          </x14:cfRule>
          <x14:cfRule type="cellIs" priority="1221" operator="equal" id="{9091E4BC-B651-4AAF-B48B-488CD336CDA7}">
            <xm:f>'Clash Matrix Legend'!$A$10</xm:f>
            <x14:dxf>
              <fill>
                <patternFill>
                  <bgColor theme="8" tint="-0.24994659260841701"/>
                </patternFill>
              </fill>
            </x14:dxf>
          </x14:cfRule>
          <x14:cfRule type="cellIs" priority="1217" operator="equal" id="{2C10626C-5E03-4C48-9C05-3C64127CFD06}">
            <xm:f>'Clash Matrix Legend'!$A$11</xm:f>
            <x14:dxf>
              <fill>
                <patternFill>
                  <bgColor theme="8" tint="-0.499984740745262"/>
                </patternFill>
              </fill>
            </x14:dxf>
          </x14:cfRule>
          <x14:cfRule type="cellIs" priority="1213" operator="equal" id="{81382143-8CEC-4C5D-8169-9030A0444221}">
            <xm:f>'Clash Matrix Legend'!#REF!</xm:f>
            <x14:dxf>
              <fill>
                <patternFill>
                  <bgColor theme="8" tint="0.79998168889431442"/>
                </patternFill>
              </fill>
            </x14:dxf>
          </x14:cfRule>
          <x14:cfRule type="cellIs" priority="1212" operator="equal" id="{D3C52D98-3E17-4FAE-B3B4-DEB98461C5A7}">
            <xm:f>'Clash Matrix Legend'!$A$9</xm:f>
            <x14:dxf>
              <fill>
                <patternFill>
                  <bgColor theme="8" tint="0.59996337778862885"/>
                </patternFill>
              </fill>
            </x14:dxf>
          </x14:cfRule>
          <x14:cfRule type="cellIs" priority="1211" operator="equal" id="{14383596-9F6D-4DEF-BB8A-B4D27EB7CE6E}">
            <xm:f>'Clash Matrix Legend'!$A$10</xm:f>
            <x14:dxf>
              <fill>
                <patternFill>
                  <bgColor theme="8" tint="-0.24994659260841701"/>
                </patternFill>
              </fill>
            </x14:dxf>
          </x14:cfRule>
          <x14:cfRule type="cellIs" priority="1207" operator="equal" id="{12AA614E-46C8-4FB4-A561-612E2F42FBE2}">
            <xm:f>'Clash Matrix Legend'!$A$11</xm:f>
            <x14:dxf>
              <fill>
                <patternFill>
                  <bgColor theme="8" tint="-0.499984740745262"/>
                </patternFill>
              </fill>
            </x14:dxf>
          </x14:cfRule>
          <x14:cfRule type="cellIs" priority="1222" operator="equal" id="{FB5A75C9-BF9A-4CA6-B2A2-175C6383FFA3}">
            <xm:f>'Clash Matrix Legend'!$A$9</xm:f>
            <x14:dxf>
              <fill>
                <patternFill>
                  <bgColor theme="8" tint="0.59996337778862885"/>
                </patternFill>
              </fill>
            </x14:dxf>
          </x14:cfRule>
          <x14:cfRule type="cellIs" priority="2904" operator="equal" id="{74B0E54B-57BD-4A74-AB1D-BCCA521CA0AB}">
            <xm:f>'Clash Matrix Legend'!$A$11</xm:f>
            <x14:dxf>
              <fill>
                <patternFill>
                  <bgColor theme="8" tint="-0.499984740745262"/>
                </patternFill>
              </fill>
            </x14:dxf>
          </x14:cfRule>
          <x14:cfRule type="cellIs" priority="2907" operator="equal" id="{C0F2FF09-50E4-448B-ADCA-A5534E486C36}">
            <xm:f>'Clash Matrix Legend'!$A$10</xm:f>
            <x14:dxf>
              <fill>
                <patternFill>
                  <bgColor theme="8" tint="-0.24994659260841701"/>
                </patternFill>
              </fill>
            </x14:dxf>
          </x14:cfRule>
          <x14:cfRule type="cellIs" priority="2908" operator="equal" id="{40B560B2-D2E5-4B48-B219-A132BD5FA496}">
            <xm:f>'Clash Matrix Legend'!$A$9</xm:f>
            <x14:dxf>
              <fill>
                <patternFill>
                  <bgColor theme="8" tint="0.59996337778862885"/>
                </patternFill>
              </fill>
            </x14:dxf>
          </x14:cfRule>
          <x14:cfRule type="cellIs" priority="2909" operator="equal" id="{08F3934A-1A9B-426B-AA7F-9EFCD318E84C}">
            <xm:f>'Clash Matrix Legend'!#REF!</xm:f>
            <x14:dxf>
              <fill>
                <patternFill>
                  <bgColor theme="8" tint="0.79998168889431442"/>
                </patternFill>
              </fill>
            </x14:dxf>
          </x14:cfRule>
          <x14:cfRule type="cellIs" priority="2912" operator="equal" id="{85DE8BE1-42C4-4B03-B3B1-763A8804AF76}">
            <xm:f>'Clash Matrix Legend'!$A$11</xm:f>
            <x14:dxf>
              <fill>
                <patternFill>
                  <bgColor theme="8" tint="-0.499984740745262"/>
                </patternFill>
              </fill>
            </x14:dxf>
          </x14:cfRule>
          <x14:cfRule type="cellIs" priority="2916" operator="equal" id="{05DE81AD-3D23-48A1-A304-7B99221BEC96}">
            <xm:f>'Clash Matrix Legend'!$A$11</xm:f>
            <x14:dxf>
              <fill>
                <patternFill>
                  <bgColor theme="8" tint="-0.499984740745262"/>
                </patternFill>
              </fill>
            </x14:dxf>
          </x14:cfRule>
          <x14:cfRule type="cellIs" priority="2920" operator="equal" id="{39DC8C34-925B-4DA5-AE6F-5673B03C1C33}">
            <xm:f>'Clash Matrix Legend'!$A$10</xm:f>
            <x14:dxf>
              <fill>
                <patternFill>
                  <bgColor theme="8" tint="-0.24994659260841701"/>
                </patternFill>
              </fill>
            </x14:dxf>
          </x14:cfRule>
          <x14:cfRule type="cellIs" priority="2921" operator="equal" id="{6887A64D-E7F0-4DBA-9812-57681CC870C4}">
            <xm:f>'Clash Matrix Legend'!$A$9</xm:f>
            <x14:dxf>
              <fill>
                <patternFill>
                  <bgColor theme="8" tint="0.59996337778862885"/>
                </patternFill>
              </fill>
            </x14:dxf>
          </x14:cfRule>
          <x14:cfRule type="cellIs" priority="2922" operator="equal" id="{21E1EE61-2ADF-4B82-8C54-8AEC8549FDE5}">
            <xm:f>'Clash Matrix Legend'!#REF!</xm:f>
            <x14:dxf>
              <fill>
                <patternFill>
                  <bgColor theme="8" tint="0.79998168889431442"/>
                </patternFill>
              </fill>
            </x14:dxf>
          </x14:cfRule>
          <x14:cfRule type="cellIs" priority="2925" operator="equal" id="{A43CC2DE-5081-4B7A-AB3B-8EE4566182D7}">
            <xm:f>'Clash Matrix Legend'!$A$10</xm:f>
            <x14:dxf>
              <fill>
                <patternFill>
                  <bgColor theme="8" tint="-0.24994659260841701"/>
                </patternFill>
              </fill>
            </x14:dxf>
          </x14:cfRule>
          <x14:cfRule type="cellIs" priority="2926" operator="equal" id="{F3504C9E-4120-4DDF-85E3-874EC8B79B64}">
            <xm:f>'Clash Matrix Legend'!$A$9</xm:f>
            <x14:dxf>
              <fill>
                <patternFill>
                  <bgColor theme="8" tint="0.59996337778862885"/>
                </patternFill>
              </fill>
            </x14:dxf>
          </x14:cfRule>
          <x14:cfRule type="cellIs" priority="2927" operator="equal" id="{9A24B47D-3775-42F2-93DD-F997FFCA87C8}">
            <xm:f>'Clash Matrix Legend'!#REF!</xm:f>
            <x14:dxf>
              <fill>
                <patternFill>
                  <bgColor theme="8" tint="0.79998168889431442"/>
                </patternFill>
              </fill>
            </x14:dxf>
          </x14:cfRule>
          <x14:cfRule type="cellIs" priority="2948" operator="equal" id="{ECE3A372-5E82-4805-A3B5-8A274A99C9CF}">
            <xm:f>'Clash Matrix Legend'!$A$10</xm:f>
            <x14:dxf>
              <fill>
                <patternFill>
                  <bgColor theme="8" tint="-0.24994659260841701"/>
                </patternFill>
              </fill>
            </x14:dxf>
          </x14:cfRule>
          <xm:sqref>AM71</xm:sqref>
        </x14:conditionalFormatting>
        <x14:conditionalFormatting xmlns:xm="http://schemas.microsoft.com/office/excel/2006/main">
          <x14:cfRule type="cellIs" priority="842" operator="equal" id="{AC41FD46-5AC2-490A-A617-4239E2A94990}">
            <xm:f>'Clash Matrix Legend'!$A$11</xm:f>
            <x14:dxf>
              <fill>
                <patternFill>
                  <bgColor theme="8" tint="-0.24994659260841701"/>
                </patternFill>
              </fill>
            </x14:dxf>
          </x14:cfRule>
          <x14:cfRule type="cellIs" priority="886" operator="equal" id="{05056133-09D7-4503-9772-B15E239A59C8}">
            <xm:f>'Clash Matrix Legend'!#REF!</xm:f>
            <x14:dxf>
              <fill>
                <patternFill>
                  <bgColor theme="8" tint="0.79998168889431442"/>
                </patternFill>
              </fill>
            </x14:dxf>
          </x14:cfRule>
          <x14:cfRule type="cellIs" priority="885" operator="equal" id="{13473F33-3EE4-43EB-B856-A8684B45DA04}">
            <xm:f>'Clash Matrix Legend'!$A$9</xm:f>
            <x14:dxf>
              <fill>
                <patternFill>
                  <bgColor theme="8" tint="0.59996337778862885"/>
                </patternFill>
              </fill>
            </x14:dxf>
          </x14:cfRule>
          <x14:cfRule type="cellIs" priority="884" operator="equal" id="{5398B248-AE0D-47A6-81A5-7733CECF2CFB}">
            <xm:f>'Clash Matrix Legend'!$A$10</xm:f>
            <x14:dxf>
              <fill>
                <patternFill>
                  <bgColor theme="8" tint="-0.24994659260841701"/>
                </patternFill>
              </fill>
            </x14:dxf>
          </x14:cfRule>
          <x14:cfRule type="cellIs" priority="881" operator="equal" id="{C8125A38-3AD8-45F5-8CCC-6F34248F279B}">
            <xm:f>'Clash Matrix Legend'!$A$11</xm:f>
            <x14:dxf>
              <fill>
                <patternFill>
                  <bgColor theme="8" tint="-0.499984740745262"/>
                </patternFill>
              </fill>
            </x14:dxf>
          </x14:cfRule>
          <x14:cfRule type="cellIs" priority="879" operator="equal" id="{B6A6FCF4-C470-4DB2-9788-B91AF921A0B8}">
            <xm:f>'Clash Matrix Legend'!#REF!</xm:f>
            <x14:dxf>
              <fill>
                <patternFill>
                  <bgColor theme="8" tint="0.79998168889431442"/>
                </patternFill>
              </fill>
            </x14:dxf>
          </x14:cfRule>
          <x14:cfRule type="cellIs" priority="878" operator="equal" id="{BB377637-2D19-409D-A62E-3CB9AC3504FD}">
            <xm:f>'Clash Matrix Legend'!$A$9</xm:f>
            <x14:dxf>
              <fill>
                <patternFill>
                  <bgColor theme="8" tint="0.59996337778862885"/>
                </patternFill>
              </fill>
            </x14:dxf>
          </x14:cfRule>
          <x14:cfRule type="cellIs" priority="877" operator="equal" id="{91B83725-FEE1-44A5-9160-149C8C2CDAD4}">
            <xm:f>'Clash Matrix Legend'!$A$10</xm:f>
            <x14:dxf>
              <fill>
                <patternFill>
                  <bgColor theme="8" tint="-0.24994659260841701"/>
                </patternFill>
              </fill>
            </x14:dxf>
          </x14:cfRule>
          <x14:cfRule type="cellIs" priority="873" operator="equal" id="{2D206BC1-0D46-4517-8183-95F29A934C59}">
            <xm:f>'Clash Matrix Legend'!$A$11</xm:f>
            <x14:dxf>
              <fill>
                <patternFill>
                  <bgColor theme="8" tint="-0.499984740745262"/>
                </patternFill>
              </fill>
            </x14:dxf>
          </x14:cfRule>
          <x14:cfRule type="cellIs" priority="844" operator="equal" id="{C1BA66CE-72A9-4EF0-AEC2-F70E8D1ECC8D}">
            <xm:f>'Clash Matrix Legend'!$A$9</xm:f>
            <x14:dxf>
              <fill>
                <patternFill>
                  <bgColor theme="8" tint="0.79998168889431442"/>
                </patternFill>
              </fill>
            </x14:dxf>
          </x14:cfRule>
          <x14:cfRule type="cellIs" priority="843" operator="equal" id="{CBA3612A-95B9-4879-9057-A4E0F8F52843}">
            <xm:f>'Clash Matrix Legend'!$A$10</xm:f>
            <x14:dxf>
              <fill>
                <patternFill>
                  <bgColor theme="8" tint="0.59996337778862885"/>
                </patternFill>
              </fill>
            </x14:dxf>
          </x14:cfRule>
          <x14:cfRule type="cellIs" priority="838" operator="equal" id="{64151361-C1B1-487B-BFDA-181DEE510E20}">
            <xm:f>'Clash Matrix Legend'!$A$12</xm:f>
            <x14:dxf>
              <fill>
                <patternFill>
                  <bgColor theme="8" tint="-0.499984740745262"/>
                </patternFill>
              </fill>
            </x14:dxf>
          </x14:cfRule>
          <x14:cfRule type="cellIs" priority="833" operator="equal" id="{29BE2901-DDD5-4E41-904C-6459F9664FB3}">
            <xm:f>'Clash Matrix Legend'!$A$9</xm:f>
            <x14:dxf>
              <fill>
                <patternFill>
                  <bgColor theme="8" tint="0.79998168889431442"/>
                </patternFill>
              </fill>
            </x14:dxf>
          </x14:cfRule>
          <x14:cfRule type="cellIs" priority="832" operator="equal" id="{B7BAB5F0-8705-4061-A670-9E12A2461E95}">
            <xm:f>'Clash Matrix Legend'!$A$10</xm:f>
            <x14:dxf>
              <fill>
                <patternFill>
                  <bgColor theme="8" tint="0.59996337778862885"/>
                </patternFill>
              </fill>
            </x14:dxf>
          </x14:cfRule>
          <x14:cfRule type="cellIs" priority="831" operator="equal" id="{6B4F794C-B885-4FB4-AFDB-0408D9820514}">
            <xm:f>'Clash Matrix Legend'!$A$11</xm:f>
            <x14:dxf>
              <fill>
                <patternFill>
                  <bgColor theme="8" tint="-0.24994659260841701"/>
                </patternFill>
              </fill>
            </x14:dxf>
          </x14:cfRule>
          <x14:cfRule type="cellIs" priority="827" operator="equal" id="{40A7D465-A06D-477C-BFFB-A007B9CA996F}">
            <xm:f>'Clash Matrix Legend'!$A$12</xm:f>
            <x14:dxf>
              <fill>
                <patternFill>
                  <bgColor theme="8" tint="-0.499984740745262"/>
                </patternFill>
              </fill>
            </x14:dxf>
          </x14:cfRule>
          <x14:cfRule type="cellIs" priority="823" operator="equal" id="{6F08439C-CB22-4219-A268-9A742266D5FA}">
            <xm:f>'Clash Matrix Legend'!$A$9</xm:f>
            <x14:dxf>
              <fill>
                <patternFill>
                  <bgColor theme="8" tint="0.79998168889431442"/>
                </patternFill>
              </fill>
            </x14:dxf>
          </x14:cfRule>
          <x14:cfRule type="cellIs" priority="822" operator="equal" id="{DF3B2CBF-726B-4C0F-9C35-201C5E83DEA1}">
            <xm:f>'Clash Matrix Legend'!$A$10</xm:f>
            <x14:dxf>
              <fill>
                <patternFill>
                  <bgColor theme="8" tint="0.59996337778862885"/>
                </patternFill>
              </fill>
            </x14:dxf>
          </x14:cfRule>
          <x14:cfRule type="cellIs" priority="821" operator="equal" id="{922762F1-302F-4527-86DA-F8DC36C17B1C}">
            <xm:f>'Clash Matrix Legend'!$A$11</xm:f>
            <x14:dxf>
              <fill>
                <patternFill>
                  <bgColor theme="8" tint="-0.24994659260841701"/>
                </patternFill>
              </fill>
            </x14:dxf>
          </x14:cfRule>
          <x14:cfRule type="cellIs" priority="818" operator="equal" id="{BF5A8F69-CB33-4FA9-989B-DBE82402B087}">
            <xm:f>'Clash Matrix Legend'!$A$12</xm:f>
            <x14:dxf>
              <fill>
                <patternFill>
                  <bgColor theme="8" tint="-0.499984740745262"/>
                </patternFill>
              </fill>
            </x14:dxf>
          </x14:cfRule>
          <x14:cfRule type="cellIs" priority="672" operator="equal" id="{239F0109-5333-4D76-ABBC-FF168CF9430D}">
            <xm:f>'Clash Matrix Legend'!#REF!</xm:f>
            <x14:dxf>
              <fill>
                <patternFill>
                  <bgColor theme="8" tint="0.79998168889431442"/>
                </patternFill>
              </fill>
            </x14:dxf>
          </x14:cfRule>
          <x14:cfRule type="cellIs" priority="671" operator="equal" id="{DA7C9438-8208-46B3-ADE8-23680FAD0571}">
            <xm:f>'Clash Matrix Legend'!$A$9</xm:f>
            <x14:dxf>
              <fill>
                <patternFill>
                  <bgColor theme="8" tint="0.59996337778862885"/>
                </patternFill>
              </fill>
            </x14:dxf>
          </x14:cfRule>
          <x14:cfRule type="cellIs" priority="670" operator="equal" id="{07A207B7-CD9E-4F8C-BAF4-F53FFC9B26F6}">
            <xm:f>'Clash Matrix Legend'!$A$10</xm:f>
            <x14:dxf>
              <fill>
                <patternFill>
                  <bgColor theme="8" tint="-0.24994659260841701"/>
                </patternFill>
              </fill>
            </x14:dxf>
          </x14:cfRule>
          <x14:cfRule type="cellIs" priority="666" operator="equal" id="{96570784-FBD1-41CE-BAE8-E433D9FB2B7A}">
            <xm:f>'Clash Matrix Legend'!$A$11</xm:f>
            <x14:dxf>
              <fill>
                <patternFill>
                  <bgColor theme="8" tint="-0.499984740745262"/>
                </patternFill>
              </fill>
            </x14:dxf>
          </x14:cfRule>
          <x14:cfRule type="cellIs" priority="654" operator="equal" id="{CDE017DC-16CC-4819-8390-76EB0F8AD072}">
            <xm:f>'Clash Matrix Legend'!#REF!</xm:f>
            <x14:dxf>
              <fill>
                <patternFill>
                  <bgColor theme="8" tint="0.79998168889431442"/>
                </patternFill>
              </fill>
            </x14:dxf>
          </x14:cfRule>
          <x14:cfRule type="cellIs" priority="653" operator="equal" id="{80F9725C-374A-4F0D-B131-10B50E5CA903}">
            <xm:f>'Clash Matrix Legend'!$A$9</xm:f>
            <x14:dxf>
              <fill>
                <patternFill>
                  <bgColor theme="8" tint="0.59996337778862885"/>
                </patternFill>
              </fill>
            </x14:dxf>
          </x14:cfRule>
          <x14:cfRule type="cellIs" priority="652" operator="equal" id="{F6E0C3E1-4BCF-4752-B83E-131D377021DE}">
            <xm:f>'Clash Matrix Legend'!$A$10</xm:f>
            <x14:dxf>
              <fill>
                <patternFill>
                  <bgColor theme="8" tint="-0.24994659260841701"/>
                </patternFill>
              </fill>
            </x14:dxf>
          </x14:cfRule>
          <x14:cfRule type="cellIs" priority="648" operator="equal" id="{AC65D751-984C-49DD-8F06-47B45F7604DE}">
            <xm:f>'Clash Matrix Legend'!$A$11</xm:f>
            <x14:dxf>
              <fill>
                <patternFill>
                  <bgColor theme="8" tint="-0.499984740745262"/>
                </patternFill>
              </fill>
            </x14:dxf>
          </x14:cfRule>
          <x14:cfRule type="cellIs" priority="644" operator="equal" id="{6E4F3C7D-08C2-41C0-953B-346440090024}">
            <xm:f>'Clash Matrix Legend'!#REF!</xm:f>
            <x14:dxf>
              <fill>
                <patternFill>
                  <bgColor theme="8" tint="0.79998168889431442"/>
                </patternFill>
              </fill>
            </x14:dxf>
          </x14:cfRule>
          <x14:cfRule type="cellIs" priority="643" operator="equal" id="{B8C52BFD-51E3-428C-8D10-414C14245657}">
            <xm:f>'Clash Matrix Legend'!$A$9</xm:f>
            <x14:dxf>
              <fill>
                <patternFill>
                  <bgColor theme="8" tint="0.59996337778862885"/>
                </patternFill>
              </fill>
            </x14:dxf>
          </x14:cfRule>
          <x14:cfRule type="cellIs" priority="642" operator="equal" id="{956BF6E6-706E-46BB-B030-5ED6BFBE3405}">
            <xm:f>'Clash Matrix Legend'!$A$10</xm:f>
            <x14:dxf>
              <fill>
                <patternFill>
                  <bgColor theme="8" tint="-0.24994659260841701"/>
                </patternFill>
              </fill>
            </x14:dxf>
          </x14:cfRule>
          <x14:cfRule type="cellIs" priority="638" operator="equal" id="{6279D7C5-F893-41D6-8096-B1EA42BCB942}">
            <xm:f>'Clash Matrix Legend'!$A$11</xm:f>
            <x14:dxf>
              <fill>
                <patternFill>
                  <bgColor theme="8" tint="-0.499984740745262"/>
                </patternFill>
              </fill>
            </x14:dxf>
          </x14:cfRule>
          <x14:cfRule type="cellIs" priority="905" operator="equal" id="{F3C642B5-D530-4A93-82DF-00DA0C6D96CA}">
            <xm:f>'Clash Matrix Legend'!#REF!</xm:f>
            <x14:dxf>
              <fill>
                <patternFill>
                  <bgColor theme="8" tint="0.79998168889431442"/>
                </patternFill>
              </fill>
            </x14:dxf>
          </x14:cfRule>
          <x14:cfRule type="cellIs" priority="904" operator="equal" id="{22C9C7B7-A525-4288-9654-A93D9F44CF12}">
            <xm:f>'Clash Matrix Legend'!$A$9</xm:f>
            <x14:dxf>
              <fill>
                <patternFill>
                  <bgColor theme="8" tint="0.59996337778862885"/>
                </patternFill>
              </fill>
            </x14:dxf>
          </x14:cfRule>
          <x14:cfRule type="cellIs" priority="903" operator="equal" id="{E4F49719-34CC-43BC-8F9A-4622EB218653}">
            <xm:f>'Clash Matrix Legend'!$A$10</xm:f>
            <x14:dxf>
              <fill>
                <patternFill>
                  <bgColor theme="8" tint="-0.24994659260841701"/>
                </patternFill>
              </fill>
            </x14:dxf>
          </x14:cfRule>
          <x14:cfRule type="cellIs" priority="899" operator="equal" id="{8721DEBE-5AB7-4618-B0B2-3F76014C3749}">
            <xm:f>'Clash Matrix Legend'!$A$11</xm:f>
            <x14:dxf>
              <fill>
                <patternFill>
                  <bgColor theme="8" tint="-0.499984740745262"/>
                </patternFill>
              </fill>
            </x14:dxf>
          </x14:cfRule>
          <x14:cfRule type="cellIs" priority="894" operator="equal" id="{4615A9F8-BAB6-4F10-96AE-0294E35B2D77}">
            <xm:f>'Clash Matrix Legend'!#REF!</xm:f>
            <x14:dxf>
              <fill>
                <patternFill>
                  <bgColor theme="8" tint="0.79998168889431442"/>
                </patternFill>
              </fill>
            </x14:dxf>
          </x14:cfRule>
          <x14:cfRule type="cellIs" priority="893" operator="equal" id="{9B29AC62-0E1E-4294-9EF4-B37B1EA12D14}">
            <xm:f>'Clash Matrix Legend'!$A$9</xm:f>
            <x14:dxf>
              <fill>
                <patternFill>
                  <bgColor theme="8" tint="0.59996337778862885"/>
                </patternFill>
              </fill>
            </x14:dxf>
          </x14:cfRule>
          <x14:cfRule type="cellIs" priority="892" operator="equal" id="{3C8161C5-EF5B-4FB5-BEA8-CC9CE2ACC6D0}">
            <xm:f>'Clash Matrix Legend'!$A$10</xm:f>
            <x14:dxf>
              <fill>
                <patternFill>
                  <bgColor theme="8" tint="-0.24994659260841701"/>
                </patternFill>
              </fill>
            </x14:dxf>
          </x14:cfRule>
          <x14:cfRule type="cellIs" priority="888" operator="equal" id="{2146FE2F-5E3C-4203-AC72-A0299795D13F}">
            <xm:f>'Clash Matrix Legend'!$A$11</xm:f>
            <x14:dxf>
              <fill>
                <patternFill>
                  <bgColor theme="8" tint="-0.499984740745262"/>
                </patternFill>
              </fill>
            </x14:dxf>
          </x14:cfRule>
          <xm:sqref>AM74:AM75</xm:sqref>
        </x14:conditionalFormatting>
        <x14:conditionalFormatting xmlns:xm="http://schemas.microsoft.com/office/excel/2006/main">
          <x14:cfRule type="cellIs" priority="870" operator="equal" id="{ADEBBED0-C246-43AA-BE3F-329202E219F7}">
            <xm:f>'Clash Matrix Legend'!$A$10</xm:f>
            <x14:dxf>
              <fill>
                <patternFill>
                  <bgColor theme="8" tint="-0.24994659260841701"/>
                </patternFill>
              </fill>
            </x14:dxf>
          </x14:cfRule>
          <x14:cfRule type="cellIs" priority="867" operator="equal" id="{93F967D0-9418-4A6F-8433-D45B9712767F}">
            <xm:f>'Clash Matrix Legend'!$A$11</xm:f>
            <x14:dxf>
              <fill>
                <patternFill>
                  <bgColor theme="8" tint="-0.499984740745262"/>
                </patternFill>
              </fill>
            </x14:dxf>
          </x14:cfRule>
          <x14:cfRule type="cellIs" priority="779" operator="equal" id="{26A70FD6-9427-4F3D-BCCE-CF93724BE370}">
            <xm:f>'Clash Matrix Legend'!$A$9</xm:f>
            <x14:dxf>
              <fill>
                <patternFill>
                  <bgColor theme="8" tint="0.59996337778862885"/>
                </patternFill>
              </fill>
            </x14:dxf>
          </x14:cfRule>
          <x14:cfRule type="cellIs" priority="778" operator="equal" id="{47D65801-4BED-45B9-B97D-739D85538498}">
            <xm:f>'Clash Matrix Legend'!$A$10</xm:f>
            <x14:dxf>
              <fill>
                <patternFill>
                  <bgColor theme="8" tint="-0.24994659260841701"/>
                </patternFill>
              </fill>
            </x14:dxf>
          </x14:cfRule>
          <x14:cfRule type="cellIs" priority="866" operator="equal" id="{62521819-9047-47B6-834B-3624DF404D99}">
            <xm:f>'Clash Matrix Legend'!#REF!</xm:f>
            <x14:dxf>
              <fill>
                <patternFill>
                  <bgColor theme="8" tint="0.79998168889431442"/>
                </patternFill>
              </fill>
            </x14:dxf>
          </x14:cfRule>
          <x14:cfRule type="cellIs" priority="865" operator="equal" id="{1484E3F6-DAD5-4AD1-B7D2-5C72A44ADD16}">
            <xm:f>'Clash Matrix Legend'!$A$9</xm:f>
            <x14:dxf>
              <fill>
                <patternFill>
                  <bgColor theme="8" tint="0.59996337778862885"/>
                </patternFill>
              </fill>
            </x14:dxf>
          </x14:cfRule>
          <x14:cfRule type="cellIs" priority="864" operator="equal" id="{4D73C289-5AAF-4005-BC9A-88A20C6A321A}">
            <xm:f>'Clash Matrix Legend'!$A$10</xm:f>
            <x14:dxf>
              <fill>
                <patternFill>
                  <bgColor theme="8" tint="-0.24994659260841701"/>
                </patternFill>
              </fill>
            </x14:dxf>
          </x14:cfRule>
          <x14:cfRule type="cellIs" priority="861" operator="equal" id="{2C4C8356-1DE7-434A-A478-1DA35A06C49E}">
            <xm:f>'Clash Matrix Legend'!$A$11</xm:f>
            <x14:dxf>
              <fill>
                <patternFill>
                  <bgColor theme="8" tint="-0.499984740745262"/>
                </patternFill>
              </fill>
            </x14:dxf>
          </x14:cfRule>
          <x14:cfRule type="cellIs" priority="813" operator="equal" id="{E5973611-2073-4938-95AA-0E24229CE0D4}">
            <xm:f>'Clash Matrix Legend'!$A$11</xm:f>
            <x14:dxf>
              <fill>
                <patternFill>
                  <bgColor theme="8" tint="-0.499984740745262"/>
                </patternFill>
              </fill>
            </x14:dxf>
          </x14:cfRule>
          <x14:cfRule type="cellIs" priority="811" operator="equal" id="{C1C49061-647C-4723-BAD8-9159C267B313}">
            <xm:f>'Clash Matrix Legend'!$A$11</xm:f>
            <x14:dxf>
              <fill>
                <patternFill>
                  <bgColor theme="8" tint="-0.499984740745262"/>
                </patternFill>
              </fill>
            </x14:dxf>
          </x14:cfRule>
          <x14:cfRule type="cellIs" priority="808" operator="equal" id="{EA0E7DE1-2A18-4571-80AD-F0DFE9919AA2}">
            <xm:f>'Clash Matrix Legend'!#REF!</xm:f>
            <x14:dxf>
              <fill>
                <patternFill>
                  <bgColor theme="8" tint="0.79998168889431442"/>
                </patternFill>
              </fill>
            </x14:dxf>
          </x14:cfRule>
          <x14:cfRule type="cellIs" priority="807" operator="equal" id="{019766AF-8090-4A83-B0F5-33B19E49B5F7}">
            <xm:f>'Clash Matrix Legend'!$A$9</xm:f>
            <x14:dxf>
              <fill>
                <patternFill>
                  <bgColor theme="8" tint="0.59996337778862885"/>
                </patternFill>
              </fill>
            </x14:dxf>
          </x14:cfRule>
          <x14:cfRule type="cellIs" priority="806" operator="equal" id="{DC0FDF6C-16B7-4649-9DC7-8E83B587765D}">
            <xm:f>'Clash Matrix Legend'!$A$10</xm:f>
            <x14:dxf>
              <fill>
                <patternFill>
                  <bgColor theme="8" tint="-0.24994659260841701"/>
                </patternFill>
              </fill>
            </x14:dxf>
          </x14:cfRule>
          <x14:cfRule type="cellIs" priority="803" operator="equal" id="{8568FCB3-9AAD-4326-99C8-2F2324564695}">
            <xm:f>'Clash Matrix Legend'!$A$11</xm:f>
            <x14:dxf>
              <fill>
                <patternFill>
                  <bgColor theme="8" tint="-0.499984740745262"/>
                </patternFill>
              </fill>
            </x14:dxf>
          </x14:cfRule>
          <x14:cfRule type="cellIs" priority="871" operator="equal" id="{F76041C0-BF34-4161-BE00-8E00FACB1263}">
            <xm:f>'Clash Matrix Legend'!$A$9</xm:f>
            <x14:dxf>
              <fill>
                <patternFill>
                  <bgColor theme="8" tint="0.59996337778862885"/>
                </patternFill>
              </fill>
            </x14:dxf>
          </x14:cfRule>
          <x14:cfRule type="cellIs" priority="801" operator="equal" id="{583AE7F1-4F6A-437F-95B7-F46174165CC8}">
            <xm:f>'Clash Matrix Legend'!#REF!</xm:f>
            <x14:dxf>
              <fill>
                <patternFill>
                  <bgColor theme="8" tint="0.79998168889431442"/>
                </patternFill>
              </fill>
            </x14:dxf>
          </x14:cfRule>
          <x14:cfRule type="cellIs" priority="800" operator="equal" id="{74AC0FB3-639B-4B44-9A62-DF05DB23998C}">
            <xm:f>'Clash Matrix Legend'!$A$9</xm:f>
            <x14:dxf>
              <fill>
                <patternFill>
                  <bgColor theme="8" tint="0.59996337778862885"/>
                </patternFill>
              </fill>
            </x14:dxf>
          </x14:cfRule>
          <x14:cfRule type="cellIs" priority="799" operator="equal" id="{954815BD-B436-47DD-BD99-406247FB2A00}">
            <xm:f>'Clash Matrix Legend'!$A$10</xm:f>
            <x14:dxf>
              <fill>
                <patternFill>
                  <bgColor theme="8" tint="-0.24994659260841701"/>
                </patternFill>
              </fill>
            </x14:dxf>
          </x14:cfRule>
          <x14:cfRule type="cellIs" priority="795" operator="equal" id="{061E8F30-BEF2-41F9-9334-BB0435296DCE}">
            <xm:f>'Clash Matrix Legend'!$A$11</xm:f>
            <x14:dxf>
              <fill>
                <patternFill>
                  <bgColor theme="8" tint="-0.499984740745262"/>
                </patternFill>
              </fill>
            </x14:dxf>
          </x14:cfRule>
          <x14:cfRule type="cellIs" priority="793" operator="equal" id="{C2781932-BD45-4EEC-9622-AFF7C1B6E938}">
            <xm:f>'Clash Matrix Legend'!#REF!</xm:f>
            <x14:dxf>
              <fill>
                <patternFill>
                  <bgColor theme="8" tint="0.79998168889431442"/>
                </patternFill>
              </fill>
            </x14:dxf>
          </x14:cfRule>
          <x14:cfRule type="cellIs" priority="792" operator="equal" id="{5CE18CCC-87C3-4C54-B9B3-1E5BA097B2F1}">
            <xm:f>'Clash Matrix Legend'!$A$9</xm:f>
            <x14:dxf>
              <fill>
                <patternFill>
                  <bgColor theme="8" tint="0.59996337778862885"/>
                </patternFill>
              </fill>
            </x14:dxf>
          </x14:cfRule>
          <x14:cfRule type="cellIs" priority="791" operator="equal" id="{71D85316-03C6-4BBE-9550-25EBD02E7623}">
            <xm:f>'Clash Matrix Legend'!$A$10</xm:f>
            <x14:dxf>
              <fill>
                <patternFill>
                  <bgColor theme="8" tint="-0.24994659260841701"/>
                </patternFill>
              </fill>
            </x14:dxf>
          </x14:cfRule>
          <x14:cfRule type="cellIs" priority="787" operator="equal" id="{0B7480CA-5F59-4B1C-AA78-54752C7D514B}">
            <xm:f>'Clash Matrix Legend'!$A$11</xm:f>
            <x14:dxf>
              <fill>
                <patternFill>
                  <bgColor theme="8" tint="-0.499984740745262"/>
                </patternFill>
              </fill>
            </x14:dxf>
          </x14:cfRule>
          <x14:cfRule type="cellIs" priority="766" operator="equal" id="{CD6B4BBA-6853-4F72-A055-BBA317E34A3B}">
            <xm:f>'Clash Matrix Legend'!#REF!</xm:f>
            <x14:dxf>
              <fill>
                <patternFill>
                  <bgColor theme="8" tint="0.79998168889431442"/>
                </patternFill>
              </fill>
            </x14:dxf>
          </x14:cfRule>
          <x14:cfRule type="cellIs" priority="765" operator="equal" id="{E48941C7-A0F1-43A7-A7FE-8F04794ECD13}">
            <xm:f>'Clash Matrix Legend'!$A$9</xm:f>
            <x14:dxf>
              <fill>
                <patternFill>
                  <bgColor theme="8" tint="0.59996337778862885"/>
                </patternFill>
              </fill>
            </x14:dxf>
          </x14:cfRule>
          <x14:cfRule type="cellIs" priority="764" operator="equal" id="{2484917B-C692-41E4-BB01-26BA0EB7570D}">
            <xm:f>'Clash Matrix Legend'!$A$10</xm:f>
            <x14:dxf>
              <fill>
                <patternFill>
                  <bgColor theme="8" tint="-0.24994659260841701"/>
                </patternFill>
              </fill>
            </x14:dxf>
          </x14:cfRule>
          <x14:cfRule type="cellIs" priority="760" operator="equal" id="{5075C05D-D915-4331-AD40-9ABCB6FADC89}">
            <xm:f>'Clash Matrix Legend'!$A$11</xm:f>
            <x14:dxf>
              <fill>
                <patternFill>
                  <bgColor theme="8" tint="-0.499984740745262"/>
                </patternFill>
              </fill>
            </x14:dxf>
          </x14:cfRule>
          <x14:cfRule type="cellIs" priority="755" operator="equal" id="{CEE8221C-7375-4697-9FD5-E0CB210E9AF5}">
            <xm:f>'Clash Matrix Legend'!#REF!</xm:f>
            <x14:dxf>
              <fill>
                <patternFill>
                  <bgColor theme="8" tint="0.79998168889431442"/>
                </patternFill>
              </fill>
            </x14:dxf>
          </x14:cfRule>
          <x14:cfRule type="cellIs" priority="754" operator="equal" id="{5EC75047-8EB7-43D2-8C45-000DAD8F5E2E}">
            <xm:f>'Clash Matrix Legend'!$A$9</xm:f>
            <x14:dxf>
              <fill>
                <patternFill>
                  <bgColor theme="8" tint="0.59996337778862885"/>
                </patternFill>
              </fill>
            </x14:dxf>
          </x14:cfRule>
          <x14:cfRule type="cellIs" priority="753" operator="equal" id="{8F481C05-0832-4CD3-AA6D-EAF099E46301}">
            <xm:f>'Clash Matrix Legend'!$A$10</xm:f>
            <x14:dxf>
              <fill>
                <patternFill>
                  <bgColor theme="8" tint="-0.24994659260841701"/>
                </patternFill>
              </fill>
            </x14:dxf>
          </x14:cfRule>
          <x14:cfRule type="cellIs" priority="749" operator="equal" id="{138711CD-22CC-4985-8BC7-C3EC8FEC1A42}">
            <xm:f>'Clash Matrix Legend'!$A$11</xm:f>
            <x14:dxf>
              <fill>
                <patternFill>
                  <bgColor theme="8" tint="-0.499984740745262"/>
                </patternFill>
              </fill>
            </x14:dxf>
          </x14:cfRule>
          <x14:cfRule type="cellIs" priority="748" operator="equal" id="{89097734-B2F0-49D1-9272-789DF0329C65}">
            <xm:f>'Clash Matrix Legend'!#REF!</xm:f>
            <x14:dxf>
              <fill>
                <patternFill>
                  <bgColor theme="8" tint="0.79998168889431442"/>
                </patternFill>
              </fill>
            </x14:dxf>
          </x14:cfRule>
          <x14:cfRule type="cellIs" priority="747" operator="equal" id="{F89B50F1-D703-44EE-9DC5-A2F5C3A17CC6}">
            <xm:f>'Clash Matrix Legend'!$A$9</xm:f>
            <x14:dxf>
              <fill>
                <patternFill>
                  <bgColor theme="8" tint="0.59996337778862885"/>
                </patternFill>
              </fill>
            </x14:dxf>
          </x14:cfRule>
          <x14:cfRule type="cellIs" priority="746" operator="equal" id="{9F3EAEBC-DB6B-473E-B465-E119578A9E3D}">
            <xm:f>'Clash Matrix Legend'!$A$10</xm:f>
            <x14:dxf>
              <fill>
                <patternFill>
                  <bgColor theme="8" tint="-0.24994659260841701"/>
                </patternFill>
              </fill>
            </x14:dxf>
          </x14:cfRule>
          <x14:cfRule type="cellIs" priority="738" operator="equal" id="{987E5494-60DD-4521-ADF2-E719995E191F}">
            <xm:f>'Clash Matrix Legend'!#REF!</xm:f>
            <x14:dxf>
              <fill>
                <patternFill>
                  <bgColor theme="8" tint="0.79998168889431442"/>
                </patternFill>
              </fill>
            </x14:dxf>
          </x14:cfRule>
          <x14:cfRule type="cellIs" priority="737" operator="equal" id="{78AB472A-BC8F-4383-B819-196DCD5356D7}">
            <xm:f>'Clash Matrix Legend'!$A$9</xm:f>
            <x14:dxf>
              <fill>
                <patternFill>
                  <bgColor theme="8" tint="0.59996337778862885"/>
                </patternFill>
              </fill>
            </x14:dxf>
          </x14:cfRule>
          <x14:cfRule type="cellIs" priority="736" operator="equal" id="{C0140E82-2E99-4FC3-9482-DB2148D65C37}">
            <xm:f>'Clash Matrix Legend'!$A$10</xm:f>
            <x14:dxf>
              <fill>
                <patternFill>
                  <bgColor theme="8" tint="-0.24994659260841701"/>
                </patternFill>
              </fill>
            </x14:dxf>
          </x14:cfRule>
          <x14:cfRule type="cellIs" priority="733" operator="equal" id="{E175BE98-A17B-4A88-B77E-240CA5D9978C}">
            <xm:f>'Clash Matrix Legend'!#REF!</xm:f>
            <x14:dxf>
              <fill>
                <patternFill>
                  <bgColor theme="8" tint="0.79998168889431442"/>
                </patternFill>
              </fill>
            </x14:dxf>
          </x14:cfRule>
          <x14:cfRule type="cellIs" priority="732" operator="equal" id="{BD52D95E-72EE-4586-9D80-F091204B2D99}">
            <xm:f>'Clash Matrix Legend'!$A$9</xm:f>
            <x14:dxf>
              <fill>
                <patternFill>
                  <bgColor theme="8" tint="0.59996337778862885"/>
                </patternFill>
              </fill>
            </x14:dxf>
          </x14:cfRule>
          <x14:cfRule type="cellIs" priority="731" operator="equal" id="{F2E658D4-2EED-4173-9658-9128E0F1EBB4}">
            <xm:f>'Clash Matrix Legend'!$A$10</xm:f>
            <x14:dxf>
              <fill>
                <patternFill>
                  <bgColor theme="8" tint="-0.24994659260841701"/>
                </patternFill>
              </fill>
            </x14:dxf>
          </x14:cfRule>
          <x14:cfRule type="cellIs" priority="727" operator="equal" id="{6F3D9D94-8375-4898-873C-F5A91196FE6F}">
            <xm:f>'Clash Matrix Legend'!$A$11</xm:f>
            <x14:dxf>
              <fill>
                <patternFill>
                  <bgColor theme="8" tint="-0.499984740745262"/>
                </patternFill>
              </fill>
            </x14:dxf>
          </x14:cfRule>
          <x14:cfRule type="cellIs" priority="723" operator="equal" id="{4E4CA541-AFCF-40DB-9E63-471D9CAF4CEA}">
            <xm:f>'Clash Matrix Legend'!$A$11</xm:f>
            <x14:dxf>
              <fill>
                <patternFill>
                  <bgColor theme="8" tint="-0.499984740745262"/>
                </patternFill>
              </fill>
            </x14:dxf>
          </x14:cfRule>
          <x14:cfRule type="cellIs" priority="720" operator="equal" id="{2EA83494-32D8-49F9-BE82-C5E1632C7141}">
            <xm:f>'Clash Matrix Legend'!#REF!</xm:f>
            <x14:dxf>
              <fill>
                <patternFill>
                  <bgColor theme="8" tint="0.79998168889431442"/>
                </patternFill>
              </fill>
            </x14:dxf>
          </x14:cfRule>
          <x14:cfRule type="cellIs" priority="719" operator="equal" id="{C59AC926-5276-47B5-95CB-F1C0530C4A9F}">
            <xm:f>'Clash Matrix Legend'!$A$9</xm:f>
            <x14:dxf>
              <fill>
                <patternFill>
                  <bgColor theme="8" tint="0.59996337778862885"/>
                </patternFill>
              </fill>
            </x14:dxf>
          </x14:cfRule>
          <x14:cfRule type="cellIs" priority="718" operator="equal" id="{49292823-3AFB-4EB0-84D6-E3531CA96AE5}">
            <xm:f>'Clash Matrix Legend'!$A$10</xm:f>
            <x14:dxf>
              <fill>
                <patternFill>
                  <bgColor theme="8" tint="-0.24994659260841701"/>
                </patternFill>
              </fill>
            </x14:dxf>
          </x14:cfRule>
          <x14:cfRule type="cellIs" priority="715" operator="equal" id="{D1DAA217-E83F-4534-B924-A19FE6939C52}">
            <xm:f>'Clash Matrix Legend'!$A$11</xm:f>
            <x14:dxf>
              <fill>
                <patternFill>
                  <bgColor theme="8" tint="-0.499984740745262"/>
                </patternFill>
              </fill>
            </x14:dxf>
          </x14:cfRule>
          <x14:cfRule type="cellIs" priority="3163" operator="equal" id="{B66B4E8E-0BA9-438B-ABE7-AB79D2414D04}">
            <xm:f>'Clash Matrix Legend'!#REF!</xm:f>
            <x14:dxf>
              <fill>
                <patternFill>
                  <bgColor theme="8" tint="0.79998168889431442"/>
                </patternFill>
              </fill>
            </x14:dxf>
          </x14:cfRule>
          <x14:cfRule type="cellIs" priority="3162" operator="equal" id="{4F86C351-CAE3-425C-B9FF-AD4EB244C623}">
            <xm:f>'Clash Matrix Legend'!$A$9</xm:f>
            <x14:dxf>
              <fill>
                <patternFill>
                  <bgColor theme="8" tint="0.59996337778862885"/>
                </patternFill>
              </fill>
            </x14:dxf>
          </x14:cfRule>
          <x14:cfRule type="cellIs" priority="3161" operator="equal" id="{73D3C19F-59DA-46A6-9E36-73F9971F9B58}">
            <xm:f>'Clash Matrix Legend'!$A$10</xm:f>
            <x14:dxf>
              <fill>
                <patternFill>
                  <bgColor theme="8" tint="-0.24994659260841701"/>
                </patternFill>
              </fill>
            </x14:dxf>
          </x14:cfRule>
          <x14:cfRule type="cellIs" priority="3156" operator="equal" id="{2DE2164B-CEF4-400A-8941-8A2843A81401}">
            <xm:f>'Clash Matrix Legend'!$A$10</xm:f>
            <x14:dxf>
              <fill>
                <patternFill>
                  <bgColor theme="8" tint="-0.24994659260841701"/>
                </patternFill>
              </fill>
            </x14:dxf>
          </x14:cfRule>
          <x14:cfRule type="cellIs" priority="3158" operator="equal" id="{F7B74F41-92E2-4D4C-8CE5-63CBA005B016}">
            <xm:f>'Clash Matrix Legend'!#REF!</xm:f>
            <x14:dxf>
              <fill>
                <patternFill>
                  <bgColor theme="8" tint="0.79998168889431442"/>
                </patternFill>
              </fill>
            </x14:dxf>
          </x14:cfRule>
          <x14:cfRule type="cellIs" priority="3157" operator="equal" id="{7B96D5E7-3302-4216-A541-7C77E49CAC1E}">
            <xm:f>'Clash Matrix Legend'!$A$9</xm:f>
            <x14:dxf>
              <fill>
                <patternFill>
                  <bgColor theme="8" tint="0.59996337778862885"/>
                </patternFill>
              </fill>
            </x14:dxf>
          </x14:cfRule>
          <x14:cfRule type="cellIs" priority="3152" operator="equal" id="{42A98C17-DC6E-4B91-BCE8-BD3A45BE51FD}">
            <xm:f>'Clash Matrix Legend'!$A$11</xm:f>
            <x14:dxf>
              <fill>
                <patternFill>
                  <bgColor theme="8" tint="-0.499984740745262"/>
                </patternFill>
              </fill>
            </x14:dxf>
          </x14:cfRule>
          <x14:cfRule type="cellIs" priority="3148" operator="equal" id="{64451161-A230-41F2-94B8-BB31BEC7F149}">
            <xm:f>'Clash Matrix Legend'!$A$11</xm:f>
            <x14:dxf>
              <fill>
                <patternFill>
                  <bgColor theme="8" tint="-0.499984740745262"/>
                </patternFill>
              </fill>
            </x14:dxf>
          </x14:cfRule>
          <x14:cfRule type="cellIs" priority="3145" operator="equal" id="{01A812DD-AA4F-469E-A887-C6B8180925AE}">
            <xm:f>'Clash Matrix Legend'!#REF!</xm:f>
            <x14:dxf>
              <fill>
                <patternFill>
                  <bgColor theme="8" tint="0.79998168889431442"/>
                </patternFill>
              </fill>
            </x14:dxf>
          </x14:cfRule>
          <x14:cfRule type="cellIs" priority="3144" operator="equal" id="{2C0B0897-A70D-4C44-B844-06F52DE6610D}">
            <xm:f>'Clash Matrix Legend'!$A$9</xm:f>
            <x14:dxf>
              <fill>
                <patternFill>
                  <bgColor theme="8" tint="0.59996337778862885"/>
                </patternFill>
              </fill>
            </x14:dxf>
          </x14:cfRule>
          <x14:cfRule type="cellIs" priority="3143" operator="equal" id="{BBAE2824-2B8E-4D29-9298-AB440CBEC678}">
            <xm:f>'Clash Matrix Legend'!$A$10</xm:f>
            <x14:dxf>
              <fill>
                <patternFill>
                  <bgColor theme="8" tint="-0.24994659260841701"/>
                </patternFill>
              </fill>
            </x14:dxf>
          </x14:cfRule>
          <x14:cfRule type="cellIs" priority="3140" operator="equal" id="{65C6EA0E-48D4-4989-AFD3-180556542909}">
            <xm:f>'Clash Matrix Legend'!$A$11</xm:f>
            <x14:dxf>
              <fill>
                <patternFill>
                  <bgColor theme="8" tint="-0.499984740745262"/>
                </patternFill>
              </fill>
            </x14:dxf>
          </x14:cfRule>
          <x14:cfRule type="cellIs" priority="697" operator="equal" id="{18BD9812-3F85-4328-A859-BB6DF48566FC}">
            <xm:f>'Clash Matrix Legend'!#REF!</xm:f>
            <x14:dxf>
              <fill>
                <patternFill>
                  <bgColor theme="8" tint="0.79998168889431442"/>
                </patternFill>
              </fill>
            </x14:dxf>
          </x14:cfRule>
          <x14:cfRule type="cellIs" priority="696" operator="equal" id="{4E08BEA6-9276-4486-99BB-61EDB96B9FBD}">
            <xm:f>'Clash Matrix Legend'!$A$9</xm:f>
            <x14:dxf>
              <fill>
                <patternFill>
                  <bgColor theme="8" tint="0.59996337778862885"/>
                </patternFill>
              </fill>
            </x14:dxf>
          </x14:cfRule>
          <x14:cfRule type="cellIs" priority="688" operator="equal" id="{2C925287-A602-4449-9D66-2F143A9A91DA}">
            <xm:f>'Clash Matrix Legend'!#REF!</xm:f>
            <x14:dxf>
              <fill>
                <patternFill>
                  <bgColor theme="8" tint="0.79998168889431442"/>
                </patternFill>
              </fill>
            </x14:dxf>
          </x14:cfRule>
          <x14:cfRule type="cellIs" priority="687" operator="equal" id="{092F2D2F-66ED-45BD-AC87-80DDB5B55A2B}">
            <xm:f>'Clash Matrix Legend'!$A$9</xm:f>
            <x14:dxf>
              <fill>
                <patternFill>
                  <bgColor theme="8" tint="0.59996337778862885"/>
                </patternFill>
              </fill>
            </x14:dxf>
          </x14:cfRule>
          <x14:cfRule type="cellIs" priority="686" operator="equal" id="{6A496714-C33B-41A9-8A0E-0173F179EBB6}">
            <xm:f>'Clash Matrix Legend'!$A$10</xm:f>
            <x14:dxf>
              <fill>
                <patternFill>
                  <bgColor theme="8" tint="-0.24994659260841701"/>
                </patternFill>
              </fill>
            </x14:dxf>
          </x14:cfRule>
          <x14:cfRule type="cellIs" priority="682" operator="equal" id="{533F3B37-10D5-471C-A80F-02E213E3DC00}">
            <xm:f>'Clash Matrix Legend'!$A$11</xm:f>
            <x14:dxf>
              <fill>
                <patternFill>
                  <bgColor theme="8" tint="-0.499984740745262"/>
                </patternFill>
              </fill>
            </x14:dxf>
          </x14:cfRule>
          <x14:cfRule type="cellIs" priority="695" operator="equal" id="{50BCB9A7-AB49-402B-BF1F-8409925D475E}">
            <xm:f>'Clash Matrix Legend'!$A$10</xm:f>
            <x14:dxf>
              <fill>
                <patternFill>
                  <bgColor theme="8" tint="-0.24994659260841701"/>
                </patternFill>
              </fill>
            </x14:dxf>
          </x14:cfRule>
          <x14:cfRule type="cellIs" priority="786" operator="equal" id="{4683E380-BC25-4CB5-878B-A15FD96BB30C}">
            <xm:f>'Clash Matrix Legend'!#REF!</xm:f>
            <x14:dxf>
              <fill>
                <patternFill>
                  <bgColor theme="8" tint="0.79998168889431442"/>
                </patternFill>
              </fill>
            </x14:dxf>
          </x14:cfRule>
          <x14:cfRule type="cellIs" priority="785" operator="equal" id="{983E8A2F-014A-4382-982A-CDE65A3E8E20}">
            <xm:f>'Clash Matrix Legend'!$A$9</xm:f>
            <x14:dxf>
              <fill>
                <patternFill>
                  <bgColor theme="8" tint="0.59996337778862885"/>
                </patternFill>
              </fill>
            </x14:dxf>
          </x14:cfRule>
          <x14:cfRule type="cellIs" priority="784" operator="equal" id="{A703F683-1806-4910-B91E-897852261C3E}">
            <xm:f>'Clash Matrix Legend'!$A$10</xm:f>
            <x14:dxf>
              <fill>
                <patternFill>
                  <bgColor theme="8" tint="-0.24994659260841701"/>
                </patternFill>
              </fill>
            </x14:dxf>
          </x14:cfRule>
          <x14:cfRule type="cellIs" priority="781" operator="equal" id="{54E857A6-DBD7-42FC-A43C-6C2CE5B056E4}">
            <xm:f>'Clash Matrix Legend'!$A$11</xm:f>
            <x14:dxf>
              <fill>
                <patternFill>
                  <bgColor theme="8" tint="-0.499984740745262"/>
                </patternFill>
              </fill>
            </x14:dxf>
          </x14:cfRule>
          <x14:cfRule type="cellIs" priority="780" operator="equal" id="{7EB2C6C9-ECCE-49BF-ADC1-9BE6ECB81597}">
            <xm:f>'Clash Matrix Legend'!#REF!</xm:f>
            <x14:dxf>
              <fill>
                <patternFill>
                  <bgColor theme="8" tint="0.79998168889431442"/>
                </patternFill>
              </fill>
            </x14:dxf>
          </x14:cfRule>
          <x14:cfRule type="cellIs" priority="691" operator="equal" id="{0E705A08-6D42-4BAD-896A-9AA36284D6B1}">
            <xm:f>'Clash Matrix Legend'!$A$11</xm:f>
            <x14:dxf>
              <fill>
                <patternFill>
                  <bgColor theme="8" tint="-0.499984740745262"/>
                </patternFill>
              </fill>
            </x14:dxf>
          </x14:cfRule>
          <x14:cfRule type="cellIs" priority="872" operator="equal" id="{D0C1B1A2-8822-4664-9CB0-C1DD247C5417}">
            <xm:f>'Clash Matrix Legend'!#REF!</xm:f>
            <x14:dxf>
              <fill>
                <patternFill>
                  <bgColor theme="8" tint="0.79998168889431442"/>
                </patternFill>
              </fill>
            </x14:dxf>
          </x14:cfRule>
          <xm:sqref>AM75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A4548-55AC-4BAA-A2B7-C8C22A197144}">
  <sheetPr codeName="Sheet5"/>
  <dimension ref="A1:E704"/>
  <sheetViews>
    <sheetView zoomScale="85" zoomScaleNormal="85" workbookViewId="0">
      <selection activeCell="E2" sqref="E2:E25"/>
    </sheetView>
  </sheetViews>
  <sheetFormatPr defaultRowHeight="15" x14ac:dyDescent="0.25"/>
  <cols>
    <col min="1" max="1" width="18.5703125" style="50" bestFit="1" customWidth="1"/>
    <col min="2" max="2" width="9.85546875" style="50" bestFit="1" customWidth="1"/>
    <col min="3" max="3" width="36.42578125" customWidth="1"/>
    <col min="4" max="4" width="34.42578125" customWidth="1"/>
    <col min="5" max="5" width="97.42578125" bestFit="1" customWidth="1"/>
  </cols>
  <sheetData>
    <row r="1" spans="1:5" x14ac:dyDescent="0.25">
      <c r="A1" s="49" t="s">
        <v>125</v>
      </c>
      <c r="B1" s="49" t="s">
        <v>149</v>
      </c>
      <c r="C1" s="11" t="s">
        <v>68</v>
      </c>
      <c r="D1" s="11" t="s">
        <v>69</v>
      </c>
      <c r="E1" s="11" t="s">
        <v>126</v>
      </c>
    </row>
    <row r="2" spans="1:5" ht="14.45" customHeight="1" x14ac:dyDescent="0.25">
      <c r="A2" s="51" cm="1">
        <f t="array" ref="A2:A38">TRANSPOSE('Clash Matrix (Update to suit)'!C2:AM2)</f>
        <v>0</v>
      </c>
      <c r="B2" s="51" cm="1">
        <f t="array" ref="B2:B38">TRANSPOSE('Clash Matrix (Update to suit)'!C3:AM3)</f>
        <v>0</v>
      </c>
      <c r="C2" s="5" t="str">
        <f>'Clash Matrix (Update to suit)'!$A$2</f>
        <v>ARC_Columns*</v>
      </c>
      <c r="D2" s="5" t="str" cm="1">
        <f t="array" ref="D2:D38">TRANSPOSE('Clash Matrix (Update to suit)'!C1:AM1)</f>
        <v>ARC_Columns*</v>
      </c>
      <c r="E2" s="5" t="str">
        <f>"NL-"&amp;B2&amp; "-"&amp; C2&amp;" vs "&amp;D2</f>
        <v>NL-0-ARC_Columns* vs ARC_Columns*</v>
      </c>
    </row>
    <row r="3" spans="1:5" x14ac:dyDescent="0.25">
      <c r="A3" s="51">
        <v>0</v>
      </c>
      <c r="B3" s="51">
        <v>0</v>
      </c>
      <c r="C3" s="5" t="str">
        <f>'Clash Matrix (Update to suit)'!$A$2</f>
        <v>ARC_Columns*</v>
      </c>
      <c r="D3" s="5" t="str">
        <v>ARC_Ceiling</v>
      </c>
      <c r="E3" s="5" t="str">
        <f t="shared" ref="E3:E38" si="0">"NL-"&amp;B3&amp; "-"&amp; C3&amp;" vs "&amp;D3</f>
        <v>NL-0-ARC_Columns* vs ARC_Ceiling</v>
      </c>
    </row>
    <row r="4" spans="1:5" x14ac:dyDescent="0.25">
      <c r="A4" s="51">
        <v>0</v>
      </c>
      <c r="B4" s="51">
        <v>0</v>
      </c>
      <c r="C4" s="5" t="str">
        <f>'Clash Matrix (Update to suit)'!$A$2</f>
        <v>ARC_Columns*</v>
      </c>
      <c r="D4" s="5" t="str">
        <v>ARC_Doors*</v>
      </c>
      <c r="E4" s="5" t="str">
        <f t="shared" si="0"/>
        <v>NL-0-ARC_Columns* vs ARC_Doors*</v>
      </c>
    </row>
    <row r="5" spans="1:5" x14ac:dyDescent="0.25">
      <c r="A5" s="51">
        <v>0</v>
      </c>
      <c r="B5" s="51">
        <v>0</v>
      </c>
      <c r="C5" s="5" t="str">
        <f>'Clash Matrix (Update to suit)'!$A$2</f>
        <v>ARC_Columns*</v>
      </c>
      <c r="D5" s="5" t="str">
        <v>ARC_Gen Model &amp; Casework*</v>
      </c>
      <c r="E5" s="5" t="str">
        <f t="shared" si="0"/>
        <v>NL-0-ARC_Columns* vs ARC_Gen Model &amp; Casework*</v>
      </c>
    </row>
    <row r="6" spans="1:5" x14ac:dyDescent="0.25">
      <c r="A6" s="51">
        <v>0</v>
      </c>
      <c r="B6" s="51">
        <v>0</v>
      </c>
      <c r="C6" s="5" t="str">
        <f>'Clash Matrix (Update to suit)'!$A$2</f>
        <v>ARC_Columns*</v>
      </c>
      <c r="D6" s="5" t="str">
        <v>ARC_Roof</v>
      </c>
      <c r="E6" s="5" t="str">
        <f t="shared" si="0"/>
        <v>NL-0-ARC_Columns* vs ARC_Roof</v>
      </c>
    </row>
    <row r="7" spans="1:5" x14ac:dyDescent="0.25">
      <c r="A7" s="51">
        <v>0</v>
      </c>
      <c r="B7" s="51">
        <v>0</v>
      </c>
      <c r="C7" s="5" t="str">
        <f>'Clash Matrix (Update to suit)'!$A$2</f>
        <v>ARC_Columns*</v>
      </c>
      <c r="D7" s="5" t="str">
        <v>ARC_Fire &amp; Acoustic Wall</v>
      </c>
      <c r="E7" s="5" t="str">
        <f t="shared" si="0"/>
        <v>NL-0-ARC_Columns* vs ARC_Fire &amp; Acoustic Wall</v>
      </c>
    </row>
    <row r="8" spans="1:5" x14ac:dyDescent="0.25">
      <c r="A8" s="51">
        <v>0</v>
      </c>
      <c r="B8" s="51">
        <v>0</v>
      </c>
      <c r="C8" s="5" t="str">
        <f>'Clash Matrix (Update to suit)'!$A$2</f>
        <v>ARC_Columns*</v>
      </c>
      <c r="D8" s="5" t="str">
        <v>ARC_Windows</v>
      </c>
      <c r="E8" s="5" t="str">
        <f t="shared" si="0"/>
        <v>NL-0-ARC_Columns* vs ARC_Windows</v>
      </c>
    </row>
    <row r="9" spans="1:5" x14ac:dyDescent="0.25">
      <c r="A9" s="51">
        <v>0</v>
      </c>
      <c r="B9" s="51">
        <v>0</v>
      </c>
      <c r="C9" s="5" t="str">
        <f>'Clash Matrix (Update to suit)'!$A$2</f>
        <v>ARC_Columns*</v>
      </c>
      <c r="D9" s="5" t="str">
        <v>ARC_Services Walkway</v>
      </c>
      <c r="E9" s="5" t="str">
        <f t="shared" si="0"/>
        <v>NL-0-ARC_Columns* vs ARC_Services Walkway</v>
      </c>
    </row>
    <row r="10" spans="1:5" x14ac:dyDescent="0.25">
      <c r="A10" s="51">
        <v>0</v>
      </c>
      <c r="B10" s="51">
        <v>0</v>
      </c>
      <c r="C10" s="5" t="str">
        <f>'Clash Matrix (Update to suit)'!$A$2</f>
        <v>ARC_Columns*</v>
      </c>
      <c r="D10" s="5" t="str">
        <v>ARC_Accessible Path</v>
      </c>
      <c r="E10" s="5" t="str">
        <f t="shared" si="0"/>
        <v>NL-0-ARC_Columns* vs ARC_Accessible Path</v>
      </c>
    </row>
    <row r="11" spans="1:5" x14ac:dyDescent="0.25">
      <c r="A11" s="51">
        <v>0</v>
      </c>
      <c r="B11" s="51">
        <v>0</v>
      </c>
      <c r="C11" s="5" t="str">
        <f>'Clash Matrix (Update to suit)'!$A$2</f>
        <v>ARC_Columns*</v>
      </c>
      <c r="D11" s="5" t="str">
        <v>SRV_Access Panel</v>
      </c>
      <c r="E11" s="5" t="str">
        <f t="shared" si="0"/>
        <v>NL-0-ARC_Columns* vs SRV_Access Panel</v>
      </c>
    </row>
    <row r="12" spans="1:5" x14ac:dyDescent="0.25">
      <c r="A12" s="51">
        <v>0</v>
      </c>
      <c r="B12" s="51">
        <v>0</v>
      </c>
      <c r="C12" s="5" t="str">
        <f>'Clash Matrix (Update to suit)'!$A$2</f>
        <v>ARC_Columns*</v>
      </c>
      <c r="D12" s="5" t="str">
        <v>ARC_Lighting Fixtures</v>
      </c>
      <c r="E12" s="5" t="str">
        <f t="shared" si="0"/>
        <v>NL-0-ARC_Columns* vs ARC_Lighting Fixtures</v>
      </c>
    </row>
    <row r="13" spans="1:5" x14ac:dyDescent="0.25">
      <c r="A13" s="51">
        <v>0</v>
      </c>
      <c r="B13" s="51">
        <v>0</v>
      </c>
      <c r="C13" s="5" t="str">
        <f>'Clash Matrix (Update to suit)'!$A$2</f>
        <v>ARC_Columns*</v>
      </c>
      <c r="D13" s="5" t="str">
        <v>ARC_Plumbing Fixtures</v>
      </c>
      <c r="E13" s="5" t="str">
        <f t="shared" si="0"/>
        <v>NL-0-ARC_Columns* vs ARC_Plumbing Fixtures</v>
      </c>
    </row>
    <row r="14" spans="1:5" x14ac:dyDescent="0.25">
      <c r="A14" s="51">
        <v>0</v>
      </c>
      <c r="B14" s="51">
        <v>0</v>
      </c>
      <c r="C14" s="5" t="str">
        <f>'Clash Matrix (Update to suit)'!$A$2</f>
        <v>ARC_Columns*</v>
      </c>
      <c r="D14" s="5" t="str">
        <v>ARC_SOG Floor Insulation</v>
      </c>
      <c r="E14" s="5" t="str">
        <f t="shared" si="0"/>
        <v>NL-0-ARC_Columns* vs ARC_SOG Floor Insulation</v>
      </c>
    </row>
    <row r="15" spans="1:5" x14ac:dyDescent="0.25">
      <c r="A15" s="51">
        <v>0</v>
      </c>
      <c r="B15" s="51">
        <v>0</v>
      </c>
      <c r="C15" s="5" t="str">
        <f>'Clash Matrix (Update to suit)'!$A$2</f>
        <v>ARC_Columns*</v>
      </c>
      <c r="D15" s="5" t="str">
        <v>STR_Seismic Elements</v>
      </c>
      <c r="E15" s="5" t="str">
        <f t="shared" si="0"/>
        <v>NL-0-ARC_Columns* vs STR_Seismic Elements</v>
      </c>
    </row>
    <row r="16" spans="1:5" x14ac:dyDescent="0.25">
      <c r="A16" s="51">
        <v>0</v>
      </c>
      <c r="B16" s="51">
        <v>0</v>
      </c>
      <c r="C16" s="5" t="str">
        <f>'Clash Matrix (Update to suit)'!$A$2</f>
        <v>ARC_Columns*</v>
      </c>
      <c r="D16" s="5" t="str">
        <v>STR_Conc work Excl Floor Slab</v>
      </c>
      <c r="E16" s="5" t="str">
        <f t="shared" si="0"/>
        <v>NL-0-ARC_Columns* vs STR_Conc work Excl Floor Slab</v>
      </c>
    </row>
    <row r="17" spans="1:5" x14ac:dyDescent="0.25">
      <c r="A17" s="51">
        <v>0</v>
      </c>
      <c r="B17" s="51">
        <v>0</v>
      </c>
      <c r="C17" s="5" t="str">
        <f>'Clash Matrix (Update to suit)'!$A$2</f>
        <v>ARC_Columns*</v>
      </c>
      <c r="D17" s="5" t="str">
        <v>STR_Steelwork (Bracing and Columns)</v>
      </c>
      <c r="E17" s="5" t="str">
        <f t="shared" si="0"/>
        <v>NL-0-ARC_Columns* vs STR_Steelwork (Bracing and Columns)</v>
      </c>
    </row>
    <row r="18" spans="1:5" x14ac:dyDescent="0.25">
      <c r="A18" s="51">
        <v>0</v>
      </c>
      <c r="B18" s="51">
        <v>0</v>
      </c>
      <c r="C18" s="5" t="str">
        <f>'Clash Matrix (Update to suit)'!$A$2</f>
        <v>ARC_Columns*</v>
      </c>
      <c r="D18" s="5" t="str">
        <v>STR Floor</v>
      </c>
      <c r="E18" s="5" t="str">
        <f t="shared" si="0"/>
        <v>NL-0-ARC_Columns* vs STR Floor</v>
      </c>
    </row>
    <row r="19" spans="1:5" x14ac:dyDescent="0.25">
      <c r="A19" s="51">
        <v>0</v>
      </c>
      <c r="B19" s="51">
        <v>0</v>
      </c>
      <c r="C19" s="5" t="str">
        <f>'Clash Matrix (Update to suit)'!$A$2</f>
        <v>ARC_Columns*</v>
      </c>
      <c r="D19" s="5" t="str">
        <v>HYD_Uninsulated Pipes and Acc</v>
      </c>
      <c r="E19" s="5" t="str">
        <f t="shared" si="0"/>
        <v>NL-0-ARC_Columns* vs HYD_Uninsulated Pipes and Acc</v>
      </c>
    </row>
    <row r="20" spans="1:5" x14ac:dyDescent="0.25">
      <c r="A20" s="51">
        <v>0</v>
      </c>
      <c r="B20" s="51">
        <v>0</v>
      </c>
      <c r="C20" s="5" t="str">
        <f>'Clash Matrix (Update to suit)'!$A$2</f>
        <v>ARC_Columns*</v>
      </c>
      <c r="D20" s="5" t="str">
        <v>HYD_Pipe Insulation</v>
      </c>
      <c r="E20" s="5" t="str">
        <f t="shared" si="0"/>
        <v>NL-0-ARC_Columns* vs HYD_Pipe Insulation</v>
      </c>
    </row>
    <row r="21" spans="1:5" x14ac:dyDescent="0.25">
      <c r="A21" s="51">
        <v>0</v>
      </c>
      <c r="B21" s="51">
        <v>0</v>
      </c>
      <c r="C21" s="5" t="str">
        <f>'Clash Matrix (Update to suit)'!$A$2</f>
        <v>ARC_Columns*</v>
      </c>
      <c r="D21" s="5" t="str">
        <v>HYD_Uninsulated Hot and Cold Pipes and Acc</v>
      </c>
      <c r="E21" s="5" t="str">
        <f t="shared" si="0"/>
        <v>NL-0-ARC_Columns* vs HYD_Uninsulated Hot and Cold Pipes and Acc</v>
      </c>
    </row>
    <row r="22" spans="1:5" x14ac:dyDescent="0.25">
      <c r="A22" s="51">
        <v>0</v>
      </c>
      <c r="B22" s="51">
        <v>0</v>
      </c>
      <c r="C22" s="5" t="str">
        <f>'Clash Matrix (Update to suit)'!$A$2</f>
        <v>ARC_Columns*</v>
      </c>
      <c r="D22" s="5" t="str">
        <v>HYD_Hot and Cold Insulation</v>
      </c>
      <c r="E22" s="5" t="str">
        <f t="shared" si="0"/>
        <v>NL-0-ARC_Columns* vs HYD_Hot and Cold Insulation</v>
      </c>
    </row>
    <row r="23" spans="1:5" x14ac:dyDescent="0.25">
      <c r="A23" s="51">
        <v>0</v>
      </c>
      <c r="B23" s="51">
        <v>0</v>
      </c>
      <c r="C23" s="5" t="str">
        <f>'Clash Matrix (Update to suit)'!$A$2</f>
        <v>ARC_Columns*</v>
      </c>
      <c r="D23" s="5" t="str">
        <v>HYD_Plumbing Fixture</v>
      </c>
      <c r="E23" s="5" t="str">
        <f t="shared" si="0"/>
        <v>NL-0-ARC_Columns* vs HYD_Plumbing Fixture</v>
      </c>
    </row>
    <row r="24" spans="1:5" x14ac:dyDescent="0.25">
      <c r="A24" s="51">
        <v>0</v>
      </c>
      <c r="B24" s="51">
        <v>0</v>
      </c>
      <c r="C24" s="5" t="str">
        <f>'Clash Matrix (Update to suit)'!$A$2</f>
        <v>ARC_Columns*</v>
      </c>
      <c r="D24" s="5" t="str">
        <v>MEC_Air Terminals</v>
      </c>
      <c r="E24" s="5" t="str">
        <f t="shared" si="0"/>
        <v>NL-0-ARC_Columns* vs MEC_Air Terminals</v>
      </c>
    </row>
    <row r="25" spans="1:5" x14ac:dyDescent="0.25">
      <c r="A25" s="51">
        <v>0</v>
      </c>
      <c r="B25" s="51">
        <v>0</v>
      </c>
      <c r="C25" s="5" t="str">
        <f>'Clash Matrix (Update to suit)'!$A$2</f>
        <v>ARC_Columns*</v>
      </c>
      <c r="D25" s="5" t="str">
        <v>MEC_Uninsulated Duct and Acc</v>
      </c>
      <c r="E25" s="5" t="str">
        <f t="shared" si="0"/>
        <v>NL-0-ARC_Columns* vs MEC_Uninsulated Duct and Acc</v>
      </c>
    </row>
    <row r="26" spans="1:5" x14ac:dyDescent="0.25">
      <c r="A26" s="51">
        <v>0</v>
      </c>
      <c r="B26" s="51">
        <v>0</v>
      </c>
      <c r="C26" s="5" t="str">
        <f>'Clash Matrix (Update to suit)'!$A$2</f>
        <v>ARC_Columns*</v>
      </c>
      <c r="D26" s="5" t="str">
        <v>MEC_Duct Insulation</v>
      </c>
      <c r="E26" s="5" t="str">
        <f t="shared" si="0"/>
        <v>NL-0-ARC_Columns* vs MEC_Duct Insulation</v>
      </c>
    </row>
    <row r="27" spans="1:5" x14ac:dyDescent="0.25">
      <c r="A27" s="51">
        <v>0</v>
      </c>
      <c r="B27" s="51">
        <v>0</v>
      </c>
      <c r="C27" s="5" t="str">
        <f>'Clash Matrix (Update to suit)'!$A$2</f>
        <v>ARC_Columns*</v>
      </c>
      <c r="D27" s="5" t="str">
        <v>MEC_Pipe Insulation</v>
      </c>
      <c r="E27" s="5" t="str">
        <f t="shared" si="0"/>
        <v>NL-0-ARC_Columns* vs MEC_Pipe Insulation</v>
      </c>
    </row>
    <row r="28" spans="1:5" x14ac:dyDescent="0.25">
      <c r="A28" s="51">
        <v>0</v>
      </c>
      <c r="B28" s="51">
        <v>0</v>
      </c>
      <c r="C28" s="5" t="str">
        <f>'Clash Matrix (Update to suit)'!$A$2</f>
        <v>ARC_Columns*</v>
      </c>
      <c r="D28" s="5" t="str">
        <v>MEC_Uninsulated Pipes and Acc</v>
      </c>
      <c r="E28" s="5" t="str">
        <f t="shared" si="0"/>
        <v>NL-0-ARC_Columns* vs MEC_Uninsulated Pipes and Acc</v>
      </c>
    </row>
    <row r="29" spans="1:5" x14ac:dyDescent="0.25">
      <c r="A29" s="51">
        <v>0</v>
      </c>
      <c r="B29" s="51">
        <v>0</v>
      </c>
      <c r="C29" s="5" t="str">
        <f>'Clash Matrix (Update to suit)'!$A$2</f>
        <v>ARC_Columns*</v>
      </c>
      <c r="D29" s="5" t="str">
        <v>MEC_Uninulated Flexi duct</v>
      </c>
      <c r="E29" s="5" t="str">
        <f t="shared" si="0"/>
        <v>NL-0-ARC_Columns* vs MEC_Uninulated Flexi duct</v>
      </c>
    </row>
    <row r="30" spans="1:5" x14ac:dyDescent="0.25">
      <c r="A30" s="51">
        <v>0</v>
      </c>
      <c r="B30" s="51">
        <v>0</v>
      </c>
      <c r="C30" s="5" t="str">
        <f>'Clash Matrix (Update to suit)'!$A$2</f>
        <v>ARC_Columns*</v>
      </c>
      <c r="D30" s="5" t="str">
        <v>MEC_Equipment</v>
      </c>
      <c r="E30" s="5" t="str">
        <f t="shared" si="0"/>
        <v>NL-0-ARC_Columns* vs MEC_Equipment</v>
      </c>
    </row>
    <row r="31" spans="1:5" x14ac:dyDescent="0.25">
      <c r="A31" s="51">
        <v>0</v>
      </c>
      <c r="B31" s="51">
        <v>0</v>
      </c>
      <c r="C31" s="5" t="str">
        <f>'Clash Matrix (Update to suit)'!$A$2</f>
        <v>ARC_Columns*</v>
      </c>
      <c r="D31" s="5" t="str">
        <v>ELE_Cable Tray and Fittings</v>
      </c>
      <c r="E31" s="5" t="str">
        <f t="shared" si="0"/>
        <v>NL-0-ARC_Columns* vs ELE_Cable Tray and Fittings</v>
      </c>
    </row>
    <row r="32" spans="1:5" x14ac:dyDescent="0.25">
      <c r="A32" s="51">
        <v>0</v>
      </c>
      <c r="B32" s="51">
        <v>0</v>
      </c>
      <c r="C32" s="5" t="str">
        <f>'Clash Matrix (Update to suit)'!$A$2</f>
        <v>ARC_Columns*</v>
      </c>
      <c r="D32" s="5" t="str">
        <v>ELE_Conduit*</v>
      </c>
      <c r="E32" s="5" t="str">
        <f t="shared" si="0"/>
        <v>NL-0-ARC_Columns* vs ELE_Conduit*</v>
      </c>
    </row>
    <row r="33" spans="1:5" x14ac:dyDescent="0.25">
      <c r="A33" s="51">
        <v>0</v>
      </c>
      <c r="B33" s="51">
        <v>0</v>
      </c>
      <c r="C33" s="5" t="str">
        <f>'Clash Matrix (Update to suit)'!$A$2</f>
        <v>ARC_Columns*</v>
      </c>
      <c r="D33" s="5" t="str">
        <v>ELE_Electrical Equip.</v>
      </c>
      <c r="E33" s="5" t="str">
        <f t="shared" si="0"/>
        <v>NL-0-ARC_Columns* vs ELE_Electrical Equip.</v>
      </c>
    </row>
    <row r="34" spans="1:5" x14ac:dyDescent="0.25">
      <c r="A34" s="51">
        <v>0</v>
      </c>
      <c r="B34" s="51">
        <v>0</v>
      </c>
      <c r="C34" s="5" t="str">
        <f>'Clash Matrix (Update to suit)'!$A$2</f>
        <v>ARC_Columns*</v>
      </c>
      <c r="D34" s="5" t="str">
        <v>ELE_Small Devices</v>
      </c>
      <c r="E34" s="5" t="str">
        <f t="shared" si="0"/>
        <v>NL-0-ARC_Columns* vs ELE_Small Devices</v>
      </c>
    </row>
    <row r="35" spans="1:5" x14ac:dyDescent="0.25">
      <c r="A35" s="51">
        <v>0</v>
      </c>
      <c r="B35" s="51">
        <v>0</v>
      </c>
      <c r="C35" s="5" t="str">
        <f>'Clash Matrix (Update to suit)'!$A$2</f>
        <v>ARC_Columns*</v>
      </c>
      <c r="D35" s="5" t="str">
        <v>ELE_Services Lighting Fixtures</v>
      </c>
      <c r="E35" s="5" t="str">
        <f t="shared" si="0"/>
        <v>NL-0-ARC_Columns* vs ELE_Services Lighting Fixtures</v>
      </c>
    </row>
    <row r="36" spans="1:5" x14ac:dyDescent="0.25">
      <c r="A36" s="51">
        <v>0</v>
      </c>
      <c r="B36" s="51">
        <v>0</v>
      </c>
      <c r="C36" s="5" t="str">
        <f>'Clash Matrix (Update to suit)'!$A$2</f>
        <v>ARC_Columns*</v>
      </c>
      <c r="D36" s="5" t="str">
        <v>FIR_Fire Pipes</v>
      </c>
      <c r="E36" s="5" t="str">
        <f t="shared" si="0"/>
        <v>NL-0-ARC_Columns* vs FIR_Fire Pipes</v>
      </c>
    </row>
    <row r="37" spans="1:5" x14ac:dyDescent="0.25">
      <c r="A37" s="51">
        <v>0</v>
      </c>
      <c r="B37" s="51">
        <v>0</v>
      </c>
      <c r="C37" s="5" t="str">
        <f>'Clash Matrix (Update to suit)'!$A$2</f>
        <v>ARC_Columns*</v>
      </c>
      <c r="D37" s="5" t="str">
        <v>FIR_Sprinklers Heads</v>
      </c>
      <c r="E37" s="5" t="str">
        <f t="shared" si="0"/>
        <v>NL-0-ARC_Columns* vs FIR_Sprinklers Heads</v>
      </c>
    </row>
    <row r="38" spans="1:5" x14ac:dyDescent="0.25">
      <c r="A38" s="51">
        <v>0</v>
      </c>
      <c r="B38" s="51">
        <v>0</v>
      </c>
      <c r="C38" s="5" t="str">
        <f>'Clash Matrix (Update to suit)'!$A$2</f>
        <v>ARC_Columns*</v>
      </c>
      <c r="D38" s="5" t="str">
        <v>FIR_Heat or Smoke Detectors</v>
      </c>
      <c r="E38" s="5" t="str">
        <f t="shared" si="0"/>
        <v>NL-0-ARC_Columns* vs FIR_Heat or Smoke Detectors</v>
      </c>
    </row>
    <row r="39" spans="1:5" x14ac:dyDescent="0.25">
      <c r="A39" s="51" cm="1">
        <f t="array" ref="A39:A74">TRANSPOSE('Clash Matrix (Update to suit)'!D4:AM4)</f>
        <v>0</v>
      </c>
      <c r="B39" s="51" cm="1">
        <f t="array" ref="B39:B74">TRANSPOSE('Clash Matrix (Update to suit)'!D5:AM5)</f>
        <v>0</v>
      </c>
      <c r="C39" s="5" t="str">
        <f>'Item Categories'!C3</f>
        <v>ARC_Ceiling</v>
      </c>
      <c r="D39" s="5" t="str" cm="1">
        <f t="array" ref="D39:D74">TRANSPOSE('Clash Matrix (Update to suit)'!D1:AM1)</f>
        <v>ARC_Ceiling</v>
      </c>
      <c r="E39" s="5" t="str">
        <f t="shared" ref="E39:E67" si="1">"NL-"&amp;B39&amp; "-"&amp; C39&amp;" vs "&amp;D39</f>
        <v>NL-0-ARC_Ceiling vs ARC_Ceiling</v>
      </c>
    </row>
    <row r="40" spans="1:5" x14ac:dyDescent="0.25">
      <c r="A40" s="51" t="str">
        <v>T2</v>
      </c>
      <c r="B40" s="51" t="str">
        <v>HC</v>
      </c>
      <c r="C40" s="5" t="s">
        <v>107</v>
      </c>
      <c r="D40" s="5" t="str">
        <v>ARC_Doors*</v>
      </c>
      <c r="E40" s="5" t="str">
        <f t="shared" si="1"/>
        <v>NL-HC-ARC_Ceiling vs ARC_Doors*</v>
      </c>
    </row>
    <row r="41" spans="1:5" x14ac:dyDescent="0.25">
      <c r="A41" s="51">
        <v>0</v>
      </c>
      <c r="B41" s="51">
        <v>0</v>
      </c>
      <c r="C41" s="5" t="s">
        <v>107</v>
      </c>
      <c r="D41" s="5" t="str">
        <v>ARC_Gen Model &amp; Casework*</v>
      </c>
      <c r="E41" s="5" t="str">
        <f t="shared" si="1"/>
        <v>NL-0-ARC_Ceiling vs ARC_Gen Model &amp; Casework*</v>
      </c>
    </row>
    <row r="42" spans="1:5" x14ac:dyDescent="0.25">
      <c r="A42" s="51">
        <v>0</v>
      </c>
      <c r="B42" s="51">
        <v>0</v>
      </c>
      <c r="C42" s="5" t="s">
        <v>107</v>
      </c>
      <c r="D42" s="5" t="str">
        <v>ARC_Roof</v>
      </c>
      <c r="E42" s="5" t="str">
        <f t="shared" si="1"/>
        <v>NL-0-ARC_Ceiling vs ARC_Roof</v>
      </c>
    </row>
    <row r="43" spans="1:5" x14ac:dyDescent="0.25">
      <c r="A43" s="51" t="str">
        <v>T2</v>
      </c>
      <c r="B43" s="51" t="str">
        <v>HC</v>
      </c>
      <c r="C43" s="5" t="s">
        <v>107</v>
      </c>
      <c r="D43" s="5" t="str">
        <v>ARC_Fire &amp; Acoustic Wall</v>
      </c>
      <c r="E43" s="5" t="str">
        <f t="shared" si="1"/>
        <v>NL-HC-ARC_Ceiling vs ARC_Fire &amp; Acoustic Wall</v>
      </c>
    </row>
    <row r="44" spans="1:5" x14ac:dyDescent="0.25">
      <c r="A44" s="51">
        <v>0</v>
      </c>
      <c r="B44" s="51">
        <v>0</v>
      </c>
      <c r="C44" s="5" t="s">
        <v>107</v>
      </c>
      <c r="D44" s="5" t="str">
        <v>ARC_Windows</v>
      </c>
      <c r="E44" s="5" t="str">
        <f t="shared" si="1"/>
        <v>NL-0-ARC_Ceiling vs ARC_Windows</v>
      </c>
    </row>
    <row r="45" spans="1:5" x14ac:dyDescent="0.25">
      <c r="A45" s="51">
        <v>0</v>
      </c>
      <c r="B45" s="51">
        <v>0</v>
      </c>
      <c r="C45" s="5" t="s">
        <v>107</v>
      </c>
      <c r="D45" s="5" t="str">
        <v>ARC_Services Walkway</v>
      </c>
      <c r="E45" s="5" t="str">
        <f t="shared" si="1"/>
        <v>NL-0-ARC_Ceiling vs ARC_Services Walkway</v>
      </c>
    </row>
    <row r="46" spans="1:5" x14ac:dyDescent="0.25">
      <c r="A46" s="51">
        <v>0</v>
      </c>
      <c r="B46" s="51">
        <v>0</v>
      </c>
      <c r="C46" s="5" t="s">
        <v>107</v>
      </c>
      <c r="D46" s="5" t="str">
        <v>ARC_Accessible Path</v>
      </c>
      <c r="E46" s="5" t="str">
        <f t="shared" si="1"/>
        <v>NL-0-ARC_Ceiling vs ARC_Accessible Path</v>
      </c>
    </row>
    <row r="47" spans="1:5" x14ac:dyDescent="0.25">
      <c r="A47" s="51">
        <v>0</v>
      </c>
      <c r="B47" s="51">
        <v>0</v>
      </c>
      <c r="C47" s="5" t="s">
        <v>107</v>
      </c>
      <c r="D47" s="5" t="str">
        <v>SRV_Access Panel</v>
      </c>
      <c r="E47" s="5" t="str">
        <f t="shared" si="1"/>
        <v>NL-0-ARC_Ceiling vs SRV_Access Panel</v>
      </c>
    </row>
    <row r="48" spans="1:5" x14ac:dyDescent="0.25">
      <c r="A48" s="51">
        <v>0</v>
      </c>
      <c r="B48" s="51">
        <v>0</v>
      </c>
      <c r="C48" s="5" t="s">
        <v>107</v>
      </c>
      <c r="D48" s="5" t="str">
        <v>ARC_Lighting Fixtures</v>
      </c>
      <c r="E48" s="5" t="str">
        <f t="shared" si="1"/>
        <v>NL-0-ARC_Ceiling vs ARC_Lighting Fixtures</v>
      </c>
    </row>
    <row r="49" spans="1:5" x14ac:dyDescent="0.25">
      <c r="A49" s="51">
        <v>0</v>
      </c>
      <c r="B49" s="51">
        <v>0</v>
      </c>
      <c r="C49" s="5" t="s">
        <v>107</v>
      </c>
      <c r="D49" s="5" t="str">
        <v>ARC_Plumbing Fixtures</v>
      </c>
      <c r="E49" s="5" t="str">
        <f t="shared" si="1"/>
        <v>NL-0-ARC_Ceiling vs ARC_Plumbing Fixtures</v>
      </c>
    </row>
    <row r="50" spans="1:5" x14ac:dyDescent="0.25">
      <c r="A50" s="51">
        <v>0</v>
      </c>
      <c r="B50" s="51">
        <v>0</v>
      </c>
      <c r="C50" s="5" t="s">
        <v>107</v>
      </c>
      <c r="D50" s="5" t="str">
        <v>ARC_SOG Floor Insulation</v>
      </c>
      <c r="E50" s="5" t="str">
        <f t="shared" si="1"/>
        <v>NL-0-ARC_Ceiling vs ARC_SOG Floor Insulation</v>
      </c>
    </row>
    <row r="51" spans="1:5" x14ac:dyDescent="0.25">
      <c r="A51" s="51">
        <v>0</v>
      </c>
      <c r="B51" s="51">
        <v>0</v>
      </c>
      <c r="C51" s="5" t="s">
        <v>107</v>
      </c>
      <c r="D51" s="5" t="str">
        <v>STR_Seismic Elements</v>
      </c>
      <c r="E51" s="5" t="str">
        <f t="shared" si="1"/>
        <v>NL-0-ARC_Ceiling vs STR_Seismic Elements</v>
      </c>
    </row>
    <row r="52" spans="1:5" x14ac:dyDescent="0.25">
      <c r="A52" s="51">
        <v>0</v>
      </c>
      <c r="B52" s="51">
        <v>0</v>
      </c>
      <c r="C52" s="5" t="s">
        <v>107</v>
      </c>
      <c r="D52" s="5" t="str">
        <v>STR_Conc work Excl Floor Slab</v>
      </c>
      <c r="E52" s="5" t="str">
        <f t="shared" si="1"/>
        <v>NL-0-ARC_Ceiling vs STR_Conc work Excl Floor Slab</v>
      </c>
    </row>
    <row r="53" spans="1:5" x14ac:dyDescent="0.25">
      <c r="A53" s="51">
        <v>0</v>
      </c>
      <c r="B53" s="51">
        <v>0</v>
      </c>
      <c r="C53" s="5" t="s">
        <v>107</v>
      </c>
      <c r="D53" s="5" t="str">
        <v>STR_Steelwork (Bracing and Columns)</v>
      </c>
      <c r="E53" s="5" t="str">
        <f t="shared" si="1"/>
        <v>NL-0-ARC_Ceiling vs STR_Steelwork (Bracing and Columns)</v>
      </c>
    </row>
    <row r="54" spans="1:5" x14ac:dyDescent="0.25">
      <c r="A54" s="51">
        <v>0</v>
      </c>
      <c r="B54" s="51">
        <v>0</v>
      </c>
      <c r="C54" s="5" t="s">
        <v>107</v>
      </c>
      <c r="D54" s="5" t="str">
        <v>STR Floor</v>
      </c>
      <c r="E54" s="5" t="str">
        <f t="shared" si="1"/>
        <v>NL-0-ARC_Ceiling vs STR Floor</v>
      </c>
    </row>
    <row r="55" spans="1:5" x14ac:dyDescent="0.25">
      <c r="A55" s="51" t="str">
        <v>T2</v>
      </c>
      <c r="B55" s="51" t="str">
        <v>C100V</v>
      </c>
      <c r="C55" s="5" t="s">
        <v>107</v>
      </c>
      <c r="D55" s="5" t="str">
        <v>HYD_Uninsulated Pipes and Acc</v>
      </c>
      <c r="E55" s="5" t="str">
        <f t="shared" si="1"/>
        <v>NL-C100V-ARC_Ceiling vs HYD_Uninsulated Pipes and Acc</v>
      </c>
    </row>
    <row r="56" spans="1:5" x14ac:dyDescent="0.25">
      <c r="A56" s="51" t="str">
        <v>T2</v>
      </c>
      <c r="B56" s="51" t="str">
        <v>C100V</v>
      </c>
      <c r="C56" s="5" t="s">
        <v>107</v>
      </c>
      <c r="D56" s="5" t="str">
        <v>HYD_Pipe Insulation</v>
      </c>
      <c r="E56" s="5" t="str">
        <f t="shared" si="1"/>
        <v>NL-C100V-ARC_Ceiling vs HYD_Pipe Insulation</v>
      </c>
    </row>
    <row r="57" spans="1:5" x14ac:dyDescent="0.25">
      <c r="A57" s="51" t="str">
        <v>T2</v>
      </c>
      <c r="B57" s="51" t="str">
        <v>C100V</v>
      </c>
      <c r="C57" s="5" t="s">
        <v>107</v>
      </c>
      <c r="D57" s="5" t="str">
        <v>HYD_Uninsulated Hot and Cold Pipes and Acc</v>
      </c>
      <c r="E57" s="5" t="str">
        <f t="shared" si="1"/>
        <v>NL-C100V-ARC_Ceiling vs HYD_Uninsulated Hot and Cold Pipes and Acc</v>
      </c>
    </row>
    <row r="58" spans="1:5" x14ac:dyDescent="0.25">
      <c r="A58" s="51" t="str">
        <v>T2</v>
      </c>
      <c r="B58" s="51" t="str">
        <v>C100V</v>
      </c>
      <c r="C58" s="5" t="s">
        <v>107</v>
      </c>
      <c r="D58" s="5" t="str">
        <v>HYD_Hot and Cold Insulation</v>
      </c>
      <c r="E58" s="5" t="str">
        <f t="shared" si="1"/>
        <v>NL-C100V-ARC_Ceiling vs HYD_Hot and Cold Insulation</v>
      </c>
    </row>
    <row r="59" spans="1:5" x14ac:dyDescent="0.25">
      <c r="A59" s="51" t="str">
        <v>T2</v>
      </c>
      <c r="B59" s="51" t="str">
        <v>C100V</v>
      </c>
      <c r="C59" s="5" t="s">
        <v>107</v>
      </c>
      <c r="D59" s="5" t="str">
        <v>HYD_Plumbing Fixture</v>
      </c>
      <c r="E59" s="5" t="str">
        <f t="shared" si="1"/>
        <v>NL-C100V-ARC_Ceiling vs HYD_Plumbing Fixture</v>
      </c>
    </row>
    <row r="60" spans="1:5" x14ac:dyDescent="0.25">
      <c r="A60" s="51">
        <v>0</v>
      </c>
      <c r="B60" s="51">
        <v>0</v>
      </c>
      <c r="C60" s="5" t="s">
        <v>107</v>
      </c>
      <c r="D60" s="5" t="str">
        <v>MEC_Air Terminals</v>
      </c>
      <c r="E60" s="5" t="str">
        <f t="shared" si="1"/>
        <v>NL-0-ARC_Ceiling vs MEC_Air Terminals</v>
      </c>
    </row>
    <row r="61" spans="1:5" x14ac:dyDescent="0.25">
      <c r="A61" s="51" t="str">
        <v>T2</v>
      </c>
      <c r="B61" s="51" t="str">
        <v>C100V</v>
      </c>
      <c r="C61" s="5" t="s">
        <v>107</v>
      </c>
      <c r="D61" s="5" t="str">
        <v>MEC_Uninsulated Duct and Acc</v>
      </c>
      <c r="E61" s="5" t="str">
        <f t="shared" si="1"/>
        <v>NL-C100V-ARC_Ceiling vs MEC_Uninsulated Duct and Acc</v>
      </c>
    </row>
    <row r="62" spans="1:5" x14ac:dyDescent="0.25">
      <c r="A62" s="51" t="str">
        <v>T2</v>
      </c>
      <c r="B62" s="51" t="str">
        <v>C100V</v>
      </c>
      <c r="C62" s="5" t="s">
        <v>107</v>
      </c>
      <c r="D62" s="5" t="str">
        <v>MEC_Duct Insulation</v>
      </c>
      <c r="E62" s="5" t="str">
        <f t="shared" si="1"/>
        <v>NL-C100V-ARC_Ceiling vs MEC_Duct Insulation</v>
      </c>
    </row>
    <row r="63" spans="1:5" x14ac:dyDescent="0.25">
      <c r="A63" s="51" t="str">
        <v>T2</v>
      </c>
      <c r="B63" s="51" t="str">
        <v>C100V</v>
      </c>
      <c r="C63" s="5" t="s">
        <v>107</v>
      </c>
      <c r="D63" s="5" t="str">
        <v>MEC_Pipe Insulation</v>
      </c>
      <c r="E63" s="5" t="str">
        <f t="shared" si="1"/>
        <v>NL-C100V-ARC_Ceiling vs MEC_Pipe Insulation</v>
      </c>
    </row>
    <row r="64" spans="1:5" x14ac:dyDescent="0.25">
      <c r="A64" s="51" t="str">
        <v>T2</v>
      </c>
      <c r="B64" s="51" t="str">
        <v>C100V</v>
      </c>
      <c r="C64" s="5" t="s">
        <v>107</v>
      </c>
      <c r="D64" s="5" t="str">
        <v>MEC_Uninsulated Pipes and Acc</v>
      </c>
      <c r="E64" s="5" t="str">
        <f t="shared" si="1"/>
        <v>NL-C100V-ARC_Ceiling vs MEC_Uninsulated Pipes and Acc</v>
      </c>
    </row>
    <row r="65" spans="1:5" x14ac:dyDescent="0.25">
      <c r="A65" s="51" t="str">
        <v>T2</v>
      </c>
      <c r="B65" s="51" t="str">
        <v>C100V</v>
      </c>
      <c r="C65" s="5" t="s">
        <v>107</v>
      </c>
      <c r="D65" s="5" t="str">
        <v>MEC_Uninulated Flexi duct</v>
      </c>
      <c r="E65" s="5" t="str">
        <f t="shared" si="1"/>
        <v>NL-C100V-ARC_Ceiling vs MEC_Uninulated Flexi duct</v>
      </c>
    </row>
    <row r="66" spans="1:5" x14ac:dyDescent="0.25">
      <c r="A66" s="51" t="str">
        <v>T2</v>
      </c>
      <c r="B66" s="51" t="str">
        <v>C100V</v>
      </c>
      <c r="C66" s="5" t="s">
        <v>107</v>
      </c>
      <c r="D66" s="5" t="str">
        <v>MEC_Equipment</v>
      </c>
      <c r="E66" s="5" t="str">
        <f t="shared" si="1"/>
        <v>NL-C100V-ARC_Ceiling vs MEC_Equipment</v>
      </c>
    </row>
    <row r="67" spans="1:5" x14ac:dyDescent="0.25">
      <c r="A67" s="51" t="str">
        <v>T2</v>
      </c>
      <c r="B67" s="51" t="str">
        <v>C100V</v>
      </c>
      <c r="C67" s="5" t="s">
        <v>107</v>
      </c>
      <c r="D67" s="5" t="str">
        <v>ELE_Cable Tray and Fittings</v>
      </c>
      <c r="E67" s="5" t="str">
        <f t="shared" si="1"/>
        <v>NL-C100V-ARC_Ceiling vs ELE_Cable Tray and Fittings</v>
      </c>
    </row>
    <row r="68" spans="1:5" x14ac:dyDescent="0.25">
      <c r="A68" s="51" t="str">
        <v>T2</v>
      </c>
      <c r="B68" s="51" t="str">
        <v>C100V</v>
      </c>
      <c r="C68" s="5" t="s">
        <v>107</v>
      </c>
      <c r="D68" s="5" t="str">
        <v>ELE_Conduit*</v>
      </c>
      <c r="E68" s="5" t="str">
        <f t="shared" ref="E68:E74" si="2">"NL-"&amp;B68&amp; "-"&amp; C68&amp;" vs "&amp;D68</f>
        <v>NL-C100V-ARC_Ceiling vs ELE_Conduit*</v>
      </c>
    </row>
    <row r="69" spans="1:5" x14ac:dyDescent="0.25">
      <c r="A69" s="51" t="str">
        <v>T2</v>
      </c>
      <c r="B69" s="51" t="str">
        <v>C100V</v>
      </c>
      <c r="C69" s="5" t="s">
        <v>107</v>
      </c>
      <c r="D69" s="5" t="str">
        <v>ELE_Electrical Equip.</v>
      </c>
      <c r="E69" s="5" t="str">
        <f t="shared" si="2"/>
        <v>NL-C100V-ARC_Ceiling vs ELE_Electrical Equip.</v>
      </c>
    </row>
    <row r="70" spans="1:5" x14ac:dyDescent="0.25">
      <c r="A70" s="51" t="str">
        <v>T2</v>
      </c>
      <c r="B70" s="51" t="str">
        <v>C100V</v>
      </c>
      <c r="C70" s="5" t="s">
        <v>107</v>
      </c>
      <c r="D70" s="5" t="str">
        <v>ELE_Small Devices</v>
      </c>
      <c r="E70" s="5" t="str">
        <f t="shared" si="2"/>
        <v>NL-C100V-ARC_Ceiling vs ELE_Small Devices</v>
      </c>
    </row>
    <row r="71" spans="1:5" x14ac:dyDescent="0.25">
      <c r="A71" s="51">
        <v>0</v>
      </c>
      <c r="B71" s="51">
        <v>0</v>
      </c>
      <c r="C71" s="5" t="s">
        <v>107</v>
      </c>
      <c r="D71" s="5" t="str">
        <v>ELE_Services Lighting Fixtures</v>
      </c>
      <c r="E71" s="5" t="str">
        <f t="shared" si="2"/>
        <v>NL-0-ARC_Ceiling vs ELE_Services Lighting Fixtures</v>
      </c>
    </row>
    <row r="72" spans="1:5" x14ac:dyDescent="0.25">
      <c r="A72" s="51" t="str">
        <v>T2</v>
      </c>
      <c r="B72" s="51" t="str">
        <v>C100V</v>
      </c>
      <c r="C72" s="5" t="s">
        <v>107</v>
      </c>
      <c r="D72" s="5" t="str">
        <v>FIR_Fire Pipes</v>
      </c>
      <c r="E72" s="5" t="str">
        <f t="shared" si="2"/>
        <v>NL-C100V-ARC_Ceiling vs FIR_Fire Pipes</v>
      </c>
    </row>
    <row r="73" spans="1:5" x14ac:dyDescent="0.25">
      <c r="A73" s="51">
        <v>0</v>
      </c>
      <c r="B73" s="51">
        <v>0</v>
      </c>
      <c r="C73" s="5" t="s">
        <v>107</v>
      </c>
      <c r="D73" s="5" t="str">
        <v>FIR_Sprinklers Heads</v>
      </c>
      <c r="E73" s="5" t="str">
        <f t="shared" si="2"/>
        <v>NL-0-ARC_Ceiling vs FIR_Sprinklers Heads</v>
      </c>
    </row>
    <row r="74" spans="1:5" x14ac:dyDescent="0.25">
      <c r="A74" s="51">
        <v>0</v>
      </c>
      <c r="B74" s="51">
        <v>0</v>
      </c>
      <c r="C74" s="5" t="s">
        <v>107</v>
      </c>
      <c r="D74" s="5" t="str">
        <v>FIR_Heat or Smoke Detectors</v>
      </c>
      <c r="E74" s="5" t="str">
        <f t="shared" si="2"/>
        <v>NL-0-ARC_Ceiling vs FIR_Heat or Smoke Detectors</v>
      </c>
    </row>
    <row r="75" spans="1:5" x14ac:dyDescent="0.25">
      <c r="A75" s="51" cm="1">
        <f t="array" ref="A75:A109">TRANSPOSE('Clash Matrix (Update to suit)'!E6:AM6)</f>
        <v>0</v>
      </c>
      <c r="B75" s="51" cm="1">
        <f t="array" ref="B75:B109">TRANSPOSE('Clash Matrix (Update to suit)'!E7:AM7)</f>
        <v>0</v>
      </c>
      <c r="C75" s="5" t="str">
        <f>'Item Categories'!C4</f>
        <v>ARC_Doors*</v>
      </c>
      <c r="D75" s="5" t="str" cm="1">
        <f t="array" ref="D75:D109">TRANSPOSE('Clash Matrix (Update to suit)'!E1:AM1)</f>
        <v>ARC_Doors*</v>
      </c>
      <c r="E75" s="5" t="str">
        <f t="shared" ref="E75:E106" si="3">"NL-"&amp;B75&amp; "-"&amp; C75&amp;" vs "&amp;D75</f>
        <v>NL-0-ARC_Doors* vs ARC_Doors*</v>
      </c>
    </row>
    <row r="76" spans="1:5" x14ac:dyDescent="0.25">
      <c r="A76" s="51">
        <v>0</v>
      </c>
      <c r="B76" s="51">
        <v>0</v>
      </c>
      <c r="C76" s="5" t="s">
        <v>108</v>
      </c>
      <c r="D76" s="5" t="str">
        <v>ARC_Gen Model &amp; Casework*</v>
      </c>
      <c r="E76" s="5" t="str">
        <f t="shared" si="3"/>
        <v>NL-0-ARC_Doors* vs ARC_Gen Model &amp; Casework*</v>
      </c>
    </row>
    <row r="77" spans="1:5" x14ac:dyDescent="0.25">
      <c r="A77" s="51">
        <v>0</v>
      </c>
      <c r="B77" s="51">
        <v>0</v>
      </c>
      <c r="C77" s="5" t="s">
        <v>108</v>
      </c>
      <c r="D77" s="5" t="str">
        <v>ARC_Roof</v>
      </c>
      <c r="E77" s="5" t="str">
        <f t="shared" si="3"/>
        <v>NL-0-ARC_Doors* vs ARC_Roof</v>
      </c>
    </row>
    <row r="78" spans="1:5" x14ac:dyDescent="0.25">
      <c r="A78" s="51">
        <v>0</v>
      </c>
      <c r="B78" s="51">
        <v>0</v>
      </c>
      <c r="C78" s="5" t="s">
        <v>108</v>
      </c>
      <c r="D78" s="5" t="str">
        <v>ARC_Fire &amp; Acoustic Wall</v>
      </c>
      <c r="E78" s="5" t="str">
        <f t="shared" si="3"/>
        <v>NL-0-ARC_Doors* vs ARC_Fire &amp; Acoustic Wall</v>
      </c>
    </row>
    <row r="79" spans="1:5" x14ac:dyDescent="0.25">
      <c r="A79" s="51">
        <v>0</v>
      </c>
      <c r="B79" s="51">
        <v>0</v>
      </c>
      <c r="C79" s="5" t="s">
        <v>108</v>
      </c>
      <c r="D79" s="5" t="str">
        <v>ARC_Windows</v>
      </c>
      <c r="E79" s="5" t="str">
        <f t="shared" si="3"/>
        <v>NL-0-ARC_Doors* vs ARC_Windows</v>
      </c>
    </row>
    <row r="80" spans="1:5" x14ac:dyDescent="0.25">
      <c r="A80" s="51" t="str">
        <v>T3</v>
      </c>
      <c r="B80" s="51" t="str">
        <v>HC</v>
      </c>
      <c r="C80" s="5" t="s">
        <v>108</v>
      </c>
      <c r="D80" s="5" t="str">
        <v>ARC_Services Walkway</v>
      </c>
      <c r="E80" s="5" t="str">
        <f t="shared" si="3"/>
        <v>NL-HC-ARC_Doors* vs ARC_Services Walkway</v>
      </c>
    </row>
    <row r="81" spans="1:5" x14ac:dyDescent="0.25">
      <c r="A81" s="51">
        <v>0</v>
      </c>
      <c r="B81" s="51">
        <v>0</v>
      </c>
      <c r="C81" s="5" t="s">
        <v>108</v>
      </c>
      <c r="D81" s="5" t="str">
        <v>ARC_Accessible Path</v>
      </c>
      <c r="E81" s="5" t="str">
        <f t="shared" si="3"/>
        <v>NL-0-ARC_Doors* vs ARC_Accessible Path</v>
      </c>
    </row>
    <row r="82" spans="1:5" x14ac:dyDescent="0.25">
      <c r="A82" s="51">
        <v>0</v>
      </c>
      <c r="B82" s="51">
        <v>0</v>
      </c>
      <c r="C82" s="5" t="s">
        <v>108</v>
      </c>
      <c r="D82" s="5" t="str">
        <v>SRV_Access Panel</v>
      </c>
      <c r="E82" s="5" t="str">
        <f t="shared" si="3"/>
        <v>NL-0-ARC_Doors* vs SRV_Access Panel</v>
      </c>
    </row>
    <row r="83" spans="1:5" x14ac:dyDescent="0.25">
      <c r="A83" s="51">
        <v>0</v>
      </c>
      <c r="B83" s="51">
        <v>0</v>
      </c>
      <c r="C83" s="5" t="s">
        <v>108</v>
      </c>
      <c r="D83" s="5" t="str">
        <v>ARC_Lighting Fixtures</v>
      </c>
      <c r="E83" s="5" t="str">
        <f t="shared" si="3"/>
        <v>NL-0-ARC_Doors* vs ARC_Lighting Fixtures</v>
      </c>
    </row>
    <row r="84" spans="1:5" x14ac:dyDescent="0.25">
      <c r="A84" s="51">
        <v>0</v>
      </c>
      <c r="B84" s="51">
        <v>0</v>
      </c>
      <c r="C84" s="5" t="s">
        <v>108</v>
      </c>
      <c r="D84" s="5" t="str">
        <v>ARC_Plumbing Fixtures</v>
      </c>
      <c r="E84" s="5" t="str">
        <f t="shared" si="3"/>
        <v>NL-0-ARC_Doors* vs ARC_Plumbing Fixtures</v>
      </c>
    </row>
    <row r="85" spans="1:5" x14ac:dyDescent="0.25">
      <c r="A85" s="51">
        <v>0</v>
      </c>
      <c r="B85" s="51">
        <v>0</v>
      </c>
      <c r="C85" s="5" t="s">
        <v>108</v>
      </c>
      <c r="D85" s="5" t="str">
        <v>ARC_SOG Floor Insulation</v>
      </c>
      <c r="E85" s="5" t="str">
        <f t="shared" si="3"/>
        <v>NL-0-ARC_Doors* vs ARC_SOG Floor Insulation</v>
      </c>
    </row>
    <row r="86" spans="1:5" x14ac:dyDescent="0.25">
      <c r="A86" s="51">
        <v>0</v>
      </c>
      <c r="B86" s="51">
        <v>0</v>
      </c>
      <c r="C86" s="5" t="s">
        <v>108</v>
      </c>
      <c r="D86" s="5" t="str">
        <v>STR_Seismic Elements</v>
      </c>
      <c r="E86" s="5" t="str">
        <f t="shared" si="3"/>
        <v>NL-0-ARC_Doors* vs STR_Seismic Elements</v>
      </c>
    </row>
    <row r="87" spans="1:5" x14ac:dyDescent="0.25">
      <c r="A87" s="51" t="str">
        <v>T2</v>
      </c>
      <c r="B87" s="51" t="str">
        <v>HC</v>
      </c>
      <c r="C87" s="5" t="s">
        <v>108</v>
      </c>
      <c r="D87" s="5" t="str">
        <v>STR_Conc work Excl Floor Slab</v>
      </c>
      <c r="E87" s="5" t="str">
        <f t="shared" si="3"/>
        <v>NL-HC-ARC_Doors* vs STR_Conc work Excl Floor Slab</v>
      </c>
    </row>
    <row r="88" spans="1:5" x14ac:dyDescent="0.25">
      <c r="A88" s="51" t="str">
        <v>T2</v>
      </c>
      <c r="B88" s="51" t="str">
        <v>HC</v>
      </c>
      <c r="C88" s="5" t="s">
        <v>108</v>
      </c>
      <c r="D88" s="5" t="str">
        <v>STR_Steelwork (Bracing and Columns)</v>
      </c>
      <c r="E88" s="5" t="str">
        <f t="shared" si="3"/>
        <v>NL-HC-ARC_Doors* vs STR_Steelwork (Bracing and Columns)</v>
      </c>
    </row>
    <row r="89" spans="1:5" x14ac:dyDescent="0.25">
      <c r="A89" s="51" t="str">
        <v>T2</v>
      </c>
      <c r="B89" s="51" t="str">
        <v>HC</v>
      </c>
      <c r="C89" s="5" t="s">
        <v>108</v>
      </c>
      <c r="D89" s="5" t="str">
        <v>STR Floor</v>
      </c>
      <c r="E89" s="5" t="str">
        <f t="shared" si="3"/>
        <v>NL-HC-ARC_Doors* vs STR Floor</v>
      </c>
    </row>
    <row r="90" spans="1:5" x14ac:dyDescent="0.25">
      <c r="A90" s="51">
        <v>0</v>
      </c>
      <c r="B90" s="51">
        <v>0</v>
      </c>
      <c r="C90" s="5" t="s">
        <v>108</v>
      </c>
      <c r="D90" s="5" t="str">
        <v>HYD_Uninsulated Pipes and Acc</v>
      </c>
      <c r="E90" s="5" t="str">
        <f t="shared" si="3"/>
        <v>NL-0-ARC_Doors* vs HYD_Uninsulated Pipes and Acc</v>
      </c>
    </row>
    <row r="91" spans="1:5" x14ac:dyDescent="0.25">
      <c r="A91" s="51">
        <v>0</v>
      </c>
      <c r="B91" s="51">
        <v>0</v>
      </c>
      <c r="C91" s="5" t="s">
        <v>108</v>
      </c>
      <c r="D91" s="5" t="str">
        <v>HYD_Pipe Insulation</v>
      </c>
      <c r="E91" s="5" t="str">
        <f t="shared" si="3"/>
        <v>NL-0-ARC_Doors* vs HYD_Pipe Insulation</v>
      </c>
    </row>
    <row r="92" spans="1:5" x14ac:dyDescent="0.25">
      <c r="A92" s="51">
        <v>0</v>
      </c>
      <c r="B92" s="51">
        <v>0</v>
      </c>
      <c r="C92" s="5" t="s">
        <v>108</v>
      </c>
      <c r="D92" s="5" t="str">
        <v>HYD_Uninsulated Hot and Cold Pipes and Acc</v>
      </c>
      <c r="E92" s="5" t="str">
        <f t="shared" si="3"/>
        <v>NL-0-ARC_Doors* vs HYD_Uninsulated Hot and Cold Pipes and Acc</v>
      </c>
    </row>
    <row r="93" spans="1:5" x14ac:dyDescent="0.25">
      <c r="A93" s="51">
        <v>0</v>
      </c>
      <c r="B93" s="51">
        <v>0</v>
      </c>
      <c r="C93" s="5" t="s">
        <v>108</v>
      </c>
      <c r="D93" s="5" t="str">
        <v>HYD_Hot and Cold Insulation</v>
      </c>
      <c r="E93" s="5" t="str">
        <f t="shared" si="3"/>
        <v>NL-0-ARC_Doors* vs HYD_Hot and Cold Insulation</v>
      </c>
    </row>
    <row r="94" spans="1:5" x14ac:dyDescent="0.25">
      <c r="A94" s="51">
        <v>0</v>
      </c>
      <c r="B94" s="51">
        <v>0</v>
      </c>
      <c r="C94" s="5" t="s">
        <v>108</v>
      </c>
      <c r="D94" s="5" t="str">
        <v>HYD_Plumbing Fixture</v>
      </c>
      <c r="E94" s="5" t="str">
        <f t="shared" si="3"/>
        <v>NL-0-ARC_Doors* vs HYD_Plumbing Fixture</v>
      </c>
    </row>
    <row r="95" spans="1:5" x14ac:dyDescent="0.25">
      <c r="A95" s="51" t="str">
        <v>T2</v>
      </c>
      <c r="B95" s="51" t="str">
        <v>C50</v>
      </c>
      <c r="C95" s="5" t="s">
        <v>108</v>
      </c>
      <c r="D95" s="5" t="str">
        <v>MEC_Air Terminals</v>
      </c>
      <c r="E95" s="5" t="str">
        <f t="shared" si="3"/>
        <v>NL-C50-ARC_Doors* vs MEC_Air Terminals</v>
      </c>
    </row>
    <row r="96" spans="1:5" x14ac:dyDescent="0.25">
      <c r="A96" s="51">
        <v>0</v>
      </c>
      <c r="B96" s="51">
        <v>0</v>
      </c>
      <c r="C96" s="5" t="s">
        <v>108</v>
      </c>
      <c r="D96" s="5" t="str">
        <v>MEC_Uninsulated Duct and Acc</v>
      </c>
      <c r="E96" s="5" t="str">
        <f t="shared" si="3"/>
        <v>NL-0-ARC_Doors* vs MEC_Uninsulated Duct and Acc</v>
      </c>
    </row>
    <row r="97" spans="1:5" x14ac:dyDescent="0.25">
      <c r="A97" s="51">
        <v>0</v>
      </c>
      <c r="B97" s="51">
        <v>0</v>
      </c>
      <c r="C97" s="5" t="s">
        <v>108</v>
      </c>
      <c r="D97" s="5" t="str">
        <v>MEC_Duct Insulation</v>
      </c>
      <c r="E97" s="5" t="str">
        <f t="shared" si="3"/>
        <v>NL-0-ARC_Doors* vs MEC_Duct Insulation</v>
      </c>
    </row>
    <row r="98" spans="1:5" x14ac:dyDescent="0.25">
      <c r="A98" s="51">
        <v>0</v>
      </c>
      <c r="B98" s="51">
        <v>0</v>
      </c>
      <c r="C98" s="5" t="s">
        <v>108</v>
      </c>
      <c r="D98" s="5" t="str">
        <v>MEC_Pipe Insulation</v>
      </c>
      <c r="E98" s="5" t="str">
        <f t="shared" si="3"/>
        <v>NL-0-ARC_Doors* vs MEC_Pipe Insulation</v>
      </c>
    </row>
    <row r="99" spans="1:5" x14ac:dyDescent="0.25">
      <c r="A99" s="51">
        <v>0</v>
      </c>
      <c r="B99" s="51">
        <v>0</v>
      </c>
      <c r="C99" s="5" t="s">
        <v>108</v>
      </c>
      <c r="D99" s="5" t="str">
        <v>MEC_Uninsulated Pipes and Acc</v>
      </c>
      <c r="E99" s="5" t="str">
        <f t="shared" si="3"/>
        <v>NL-0-ARC_Doors* vs MEC_Uninsulated Pipes and Acc</v>
      </c>
    </row>
    <row r="100" spans="1:5" x14ac:dyDescent="0.25">
      <c r="A100" s="51">
        <v>0</v>
      </c>
      <c r="B100" s="51">
        <v>0</v>
      </c>
      <c r="C100" s="5" t="s">
        <v>108</v>
      </c>
      <c r="D100" s="5" t="str">
        <v>MEC_Uninulated Flexi duct</v>
      </c>
      <c r="E100" s="5" t="str">
        <f t="shared" si="3"/>
        <v>NL-0-ARC_Doors* vs MEC_Uninulated Flexi duct</v>
      </c>
    </row>
    <row r="101" spans="1:5" x14ac:dyDescent="0.25">
      <c r="A101" s="51" t="str">
        <v>T2</v>
      </c>
      <c r="B101" s="51" t="str">
        <v>C50</v>
      </c>
      <c r="C101" s="5" t="s">
        <v>108</v>
      </c>
      <c r="D101" s="5" t="str">
        <v>MEC_Equipment</v>
      </c>
      <c r="E101" s="5" t="str">
        <f t="shared" si="3"/>
        <v>NL-C50-ARC_Doors* vs MEC_Equipment</v>
      </c>
    </row>
    <row r="102" spans="1:5" x14ac:dyDescent="0.25">
      <c r="A102" s="51">
        <v>0</v>
      </c>
      <c r="B102" s="51">
        <v>0</v>
      </c>
      <c r="C102" s="5" t="s">
        <v>108</v>
      </c>
      <c r="D102" s="5" t="str">
        <v>ELE_Cable Tray and Fittings</v>
      </c>
      <c r="E102" s="5" t="str">
        <f t="shared" si="3"/>
        <v>NL-0-ARC_Doors* vs ELE_Cable Tray and Fittings</v>
      </c>
    </row>
    <row r="103" spans="1:5" x14ac:dyDescent="0.25">
      <c r="A103" s="51">
        <v>0</v>
      </c>
      <c r="B103" s="51">
        <v>0</v>
      </c>
      <c r="C103" s="5" t="s">
        <v>108</v>
      </c>
      <c r="D103" s="5" t="str">
        <v>ELE_Conduit*</v>
      </c>
      <c r="E103" s="5" t="str">
        <f t="shared" si="3"/>
        <v>NL-0-ARC_Doors* vs ELE_Conduit*</v>
      </c>
    </row>
    <row r="104" spans="1:5" x14ac:dyDescent="0.25">
      <c r="A104" s="51" t="str">
        <v>T3</v>
      </c>
      <c r="B104" s="51" t="str">
        <v>HC</v>
      </c>
      <c r="C104" s="5" t="s">
        <v>108</v>
      </c>
      <c r="D104" s="5" t="str">
        <v>ELE_Electrical Equip.</v>
      </c>
      <c r="E104" s="5" t="str">
        <f t="shared" si="3"/>
        <v>NL-HC-ARC_Doors* vs ELE_Electrical Equip.</v>
      </c>
    </row>
    <row r="105" spans="1:5" x14ac:dyDescent="0.25">
      <c r="A105" s="51">
        <v>0</v>
      </c>
      <c r="B105" s="51">
        <v>0</v>
      </c>
      <c r="C105" s="5" t="s">
        <v>108</v>
      </c>
      <c r="D105" s="5" t="str">
        <v>ELE_Small Devices</v>
      </c>
      <c r="E105" s="5" t="str">
        <f t="shared" si="3"/>
        <v>NL-0-ARC_Doors* vs ELE_Small Devices</v>
      </c>
    </row>
    <row r="106" spans="1:5" x14ac:dyDescent="0.25">
      <c r="A106" s="51">
        <v>0</v>
      </c>
      <c r="B106" s="51">
        <v>0</v>
      </c>
      <c r="C106" s="5" t="s">
        <v>108</v>
      </c>
      <c r="D106" s="5" t="str">
        <v>ELE_Services Lighting Fixtures</v>
      </c>
      <c r="E106" s="5" t="str">
        <f t="shared" si="3"/>
        <v>NL-0-ARC_Doors* vs ELE_Services Lighting Fixtures</v>
      </c>
    </row>
    <row r="107" spans="1:5" x14ac:dyDescent="0.25">
      <c r="A107" s="51">
        <v>0</v>
      </c>
      <c r="B107" s="51">
        <v>0</v>
      </c>
      <c r="C107" s="5" t="s">
        <v>108</v>
      </c>
      <c r="D107" s="5" t="str">
        <v>FIR_Fire Pipes</v>
      </c>
      <c r="E107" s="5" t="str">
        <f t="shared" ref="E107:E133" si="4">"NL-"&amp;B107&amp; "-"&amp; C107&amp;" vs "&amp;D107</f>
        <v>NL-0-ARC_Doors* vs FIR_Fire Pipes</v>
      </c>
    </row>
    <row r="108" spans="1:5" x14ac:dyDescent="0.25">
      <c r="A108" s="51">
        <v>0</v>
      </c>
      <c r="B108" s="51">
        <v>0</v>
      </c>
      <c r="C108" s="5" t="s">
        <v>108</v>
      </c>
      <c r="D108" s="5" t="str">
        <v>FIR_Sprinklers Heads</v>
      </c>
      <c r="E108" s="5" t="str">
        <f t="shared" si="4"/>
        <v>NL-0-ARC_Doors* vs FIR_Sprinklers Heads</v>
      </c>
    </row>
    <row r="109" spans="1:5" x14ac:dyDescent="0.25">
      <c r="A109" s="51">
        <v>0</v>
      </c>
      <c r="B109" s="51">
        <v>0</v>
      </c>
      <c r="C109" s="5" t="s">
        <v>108</v>
      </c>
      <c r="D109" s="5" t="str">
        <v>FIR_Heat or Smoke Detectors</v>
      </c>
      <c r="E109" s="5" t="str">
        <f t="shared" si="4"/>
        <v>NL-0-ARC_Doors* vs FIR_Heat or Smoke Detectors</v>
      </c>
    </row>
    <row r="110" spans="1:5" x14ac:dyDescent="0.25">
      <c r="A110" s="51" cm="1">
        <f t="array" ref="A110:A143">TRANSPOSE('Clash Matrix (Update to suit)'!F8:AM8)</f>
        <v>0</v>
      </c>
      <c r="B110" s="51" cm="1">
        <f t="array" ref="B110:B143">TRANSPOSE('Clash Matrix (Update to suit)'!F9:AM9)</f>
        <v>0</v>
      </c>
      <c r="C110" s="5" t="str">
        <f>'Item Categories'!C5</f>
        <v>ARC_Gen Model &amp; Casework*</v>
      </c>
      <c r="D110" s="5" t="str" cm="1">
        <f t="array" ref="D110:D143">TRANSPOSE('Clash Matrix (Update to suit)'!F1:AM1)</f>
        <v>ARC_Gen Model &amp; Casework*</v>
      </c>
      <c r="E110" s="5" t="str">
        <f t="shared" si="4"/>
        <v>NL-0-ARC_Gen Model &amp; Casework* vs ARC_Gen Model &amp; Casework*</v>
      </c>
    </row>
    <row r="111" spans="1:5" x14ac:dyDescent="0.25">
      <c r="A111" s="51">
        <v>0</v>
      </c>
      <c r="B111" s="51">
        <v>0</v>
      </c>
      <c r="C111" s="5" t="s">
        <v>109</v>
      </c>
      <c r="D111" s="5" t="str">
        <v>ARC_Roof</v>
      </c>
      <c r="E111" s="5" t="str">
        <f t="shared" si="4"/>
        <v>NL-0-ARC_Gen Model &amp; Casework* vs ARC_Roof</v>
      </c>
    </row>
    <row r="112" spans="1:5" x14ac:dyDescent="0.25">
      <c r="A112" s="51" t="str">
        <v>T4</v>
      </c>
      <c r="B112" s="51" t="str">
        <v>HC</v>
      </c>
      <c r="C112" s="5" t="s">
        <v>109</v>
      </c>
      <c r="D112" s="5" t="str">
        <v>ARC_Fire &amp; Acoustic Wall</v>
      </c>
      <c r="E112" s="5" t="str">
        <f t="shared" si="4"/>
        <v>NL-HC-ARC_Gen Model &amp; Casework* vs ARC_Fire &amp; Acoustic Wall</v>
      </c>
    </row>
    <row r="113" spans="1:5" x14ac:dyDescent="0.25">
      <c r="A113" s="51" t="str">
        <v>T4</v>
      </c>
      <c r="B113" s="51" t="str">
        <v>HC</v>
      </c>
      <c r="C113" s="5" t="s">
        <v>109</v>
      </c>
      <c r="D113" s="5" t="str">
        <v>ARC_Windows</v>
      </c>
      <c r="E113" s="5" t="str">
        <f t="shared" si="4"/>
        <v>NL-HC-ARC_Gen Model &amp; Casework* vs ARC_Windows</v>
      </c>
    </row>
    <row r="114" spans="1:5" x14ac:dyDescent="0.25">
      <c r="A114" s="51" t="str">
        <v>T4</v>
      </c>
      <c r="B114" s="51" t="str">
        <v>HC</v>
      </c>
      <c r="C114" s="5" t="s">
        <v>109</v>
      </c>
      <c r="D114" s="5" t="str">
        <v>ARC_Services Walkway</v>
      </c>
      <c r="E114" s="5" t="str">
        <f t="shared" si="4"/>
        <v>NL-HC-ARC_Gen Model &amp; Casework* vs ARC_Services Walkway</v>
      </c>
    </row>
    <row r="115" spans="1:5" x14ac:dyDescent="0.25">
      <c r="A115" s="51">
        <v>0</v>
      </c>
      <c r="B115" s="51">
        <v>0</v>
      </c>
      <c r="C115" s="5" t="s">
        <v>109</v>
      </c>
      <c r="D115" s="5" t="str">
        <v>ARC_Accessible Path</v>
      </c>
      <c r="E115" s="5" t="str">
        <f t="shared" si="4"/>
        <v>NL-0-ARC_Gen Model &amp; Casework* vs ARC_Accessible Path</v>
      </c>
    </row>
    <row r="116" spans="1:5" x14ac:dyDescent="0.25">
      <c r="A116" s="51" t="str">
        <v>T4</v>
      </c>
      <c r="B116" s="51" t="str">
        <v>HC</v>
      </c>
      <c r="C116" s="5" t="s">
        <v>109</v>
      </c>
      <c r="D116" s="5" t="str">
        <v>SRV_Access Panel</v>
      </c>
      <c r="E116" s="5" t="str">
        <f t="shared" si="4"/>
        <v>NL-HC-ARC_Gen Model &amp; Casework* vs SRV_Access Panel</v>
      </c>
    </row>
    <row r="117" spans="1:5" x14ac:dyDescent="0.25">
      <c r="A117" s="51">
        <v>0</v>
      </c>
      <c r="B117" s="51">
        <v>0</v>
      </c>
      <c r="C117" s="5" t="s">
        <v>109</v>
      </c>
      <c r="D117" s="5" t="str">
        <v>ARC_Lighting Fixtures</v>
      </c>
      <c r="E117" s="5" t="str">
        <f t="shared" si="4"/>
        <v>NL-0-ARC_Gen Model &amp; Casework* vs ARC_Lighting Fixtures</v>
      </c>
    </row>
    <row r="118" spans="1:5" x14ac:dyDescent="0.25">
      <c r="A118" s="51" t="str">
        <v>T4</v>
      </c>
      <c r="B118" s="51" t="str">
        <v>HC</v>
      </c>
      <c r="C118" s="5" t="s">
        <v>109</v>
      </c>
      <c r="D118" s="5" t="str">
        <v>ARC_Plumbing Fixtures</v>
      </c>
      <c r="E118" s="5" t="str">
        <f t="shared" si="4"/>
        <v>NL-HC-ARC_Gen Model &amp; Casework* vs ARC_Plumbing Fixtures</v>
      </c>
    </row>
    <row r="119" spans="1:5" x14ac:dyDescent="0.25">
      <c r="A119" s="51">
        <v>0</v>
      </c>
      <c r="B119" s="51">
        <v>0</v>
      </c>
      <c r="C119" s="5" t="s">
        <v>109</v>
      </c>
      <c r="D119" s="5" t="str">
        <v>ARC_SOG Floor Insulation</v>
      </c>
      <c r="E119" s="5" t="str">
        <f t="shared" si="4"/>
        <v>NL-0-ARC_Gen Model &amp; Casework* vs ARC_SOG Floor Insulation</v>
      </c>
    </row>
    <row r="120" spans="1:5" x14ac:dyDescent="0.25">
      <c r="A120" s="51" t="str">
        <v>T4</v>
      </c>
      <c r="B120" s="51" t="str">
        <v>HC</v>
      </c>
      <c r="C120" s="5" t="s">
        <v>109</v>
      </c>
      <c r="D120" s="5" t="str">
        <v>STR_Seismic Elements</v>
      </c>
      <c r="E120" s="5" t="str">
        <f t="shared" si="4"/>
        <v>NL-HC-ARC_Gen Model &amp; Casework* vs STR_Seismic Elements</v>
      </c>
    </row>
    <row r="121" spans="1:5" x14ac:dyDescent="0.25">
      <c r="A121" s="51" t="str">
        <v>T4</v>
      </c>
      <c r="B121" s="51" t="str">
        <v>HC</v>
      </c>
      <c r="C121" s="5" t="s">
        <v>109</v>
      </c>
      <c r="D121" s="5" t="str">
        <v>STR_Conc work Excl Floor Slab</v>
      </c>
      <c r="E121" s="5" t="str">
        <f t="shared" si="4"/>
        <v>NL-HC-ARC_Gen Model &amp; Casework* vs STR_Conc work Excl Floor Slab</v>
      </c>
    </row>
    <row r="122" spans="1:5" x14ac:dyDescent="0.25">
      <c r="A122" s="51" t="str">
        <v>T4</v>
      </c>
      <c r="B122" s="51" t="str">
        <v>HC</v>
      </c>
      <c r="C122" s="5" t="s">
        <v>109</v>
      </c>
      <c r="D122" s="5" t="str">
        <v>STR_Steelwork (Bracing and Columns)</v>
      </c>
      <c r="E122" s="5" t="str">
        <f t="shared" si="4"/>
        <v>NL-HC-ARC_Gen Model &amp; Casework* vs STR_Steelwork (Bracing and Columns)</v>
      </c>
    </row>
    <row r="123" spans="1:5" x14ac:dyDescent="0.25">
      <c r="A123" s="51" t="str">
        <v>T4</v>
      </c>
      <c r="B123" s="51" t="str">
        <v>HC</v>
      </c>
      <c r="C123" s="5" t="s">
        <v>109</v>
      </c>
      <c r="D123" s="5" t="str">
        <v>STR Floor</v>
      </c>
      <c r="E123" s="5" t="str">
        <f t="shared" si="4"/>
        <v>NL-HC-ARC_Gen Model &amp; Casework* vs STR Floor</v>
      </c>
    </row>
    <row r="124" spans="1:5" x14ac:dyDescent="0.25">
      <c r="A124" s="51" t="str">
        <v>T4</v>
      </c>
      <c r="B124" s="51" t="str">
        <v>HC</v>
      </c>
      <c r="C124" s="5" t="s">
        <v>109</v>
      </c>
      <c r="D124" s="5" t="str">
        <v>HYD_Uninsulated Pipes and Acc</v>
      </c>
      <c r="E124" s="5" t="str">
        <f t="shared" si="4"/>
        <v>NL-HC-ARC_Gen Model &amp; Casework* vs HYD_Uninsulated Pipes and Acc</v>
      </c>
    </row>
    <row r="125" spans="1:5" x14ac:dyDescent="0.25">
      <c r="A125" s="51" t="str">
        <v>T4</v>
      </c>
      <c r="B125" s="51" t="str">
        <v>HC</v>
      </c>
      <c r="C125" s="5" t="s">
        <v>109</v>
      </c>
      <c r="D125" s="5" t="str">
        <v>HYD_Pipe Insulation</v>
      </c>
      <c r="E125" s="5" t="str">
        <f t="shared" si="4"/>
        <v>NL-HC-ARC_Gen Model &amp; Casework* vs HYD_Pipe Insulation</v>
      </c>
    </row>
    <row r="126" spans="1:5" x14ac:dyDescent="0.25">
      <c r="A126" s="51" t="str">
        <v>T4</v>
      </c>
      <c r="B126" s="51" t="str">
        <v>HC</v>
      </c>
      <c r="C126" s="5" t="s">
        <v>109</v>
      </c>
      <c r="D126" s="5" t="str">
        <v>HYD_Uninsulated Hot and Cold Pipes and Acc</v>
      </c>
      <c r="E126" s="5" t="str">
        <f t="shared" si="4"/>
        <v>NL-HC-ARC_Gen Model &amp; Casework* vs HYD_Uninsulated Hot and Cold Pipes and Acc</v>
      </c>
    </row>
    <row r="127" spans="1:5" x14ac:dyDescent="0.25">
      <c r="A127" s="51" t="str">
        <v>T4</v>
      </c>
      <c r="B127" s="51" t="str">
        <v>HC</v>
      </c>
      <c r="C127" s="5" t="s">
        <v>109</v>
      </c>
      <c r="D127" s="5" t="str">
        <v>HYD_Hot and Cold Insulation</v>
      </c>
      <c r="E127" s="5" t="str">
        <f t="shared" si="4"/>
        <v>NL-HC-ARC_Gen Model &amp; Casework* vs HYD_Hot and Cold Insulation</v>
      </c>
    </row>
    <row r="128" spans="1:5" x14ac:dyDescent="0.25">
      <c r="A128" s="51" t="str">
        <v>T4</v>
      </c>
      <c r="B128" s="51" t="str">
        <v>HC</v>
      </c>
      <c r="C128" s="5" t="s">
        <v>109</v>
      </c>
      <c r="D128" s="5" t="str">
        <v>HYD_Plumbing Fixture</v>
      </c>
      <c r="E128" s="5" t="str">
        <f t="shared" si="4"/>
        <v>NL-HC-ARC_Gen Model &amp; Casework* vs HYD_Plumbing Fixture</v>
      </c>
    </row>
    <row r="129" spans="1:5" x14ac:dyDescent="0.25">
      <c r="A129" s="51" t="str">
        <v>T4</v>
      </c>
      <c r="B129" s="51" t="str">
        <v>HC</v>
      </c>
      <c r="C129" s="5" t="s">
        <v>109</v>
      </c>
      <c r="D129" s="5" t="str">
        <v>MEC_Air Terminals</v>
      </c>
      <c r="E129" s="5" t="str">
        <f t="shared" si="4"/>
        <v>NL-HC-ARC_Gen Model &amp; Casework* vs MEC_Air Terminals</v>
      </c>
    </row>
    <row r="130" spans="1:5" x14ac:dyDescent="0.25">
      <c r="A130" s="51" t="str">
        <v>T4</v>
      </c>
      <c r="B130" s="51" t="str">
        <v>HC</v>
      </c>
      <c r="C130" s="5" t="s">
        <v>109</v>
      </c>
      <c r="D130" s="5" t="str">
        <v>MEC_Uninsulated Duct and Acc</v>
      </c>
      <c r="E130" s="5" t="str">
        <f t="shared" si="4"/>
        <v>NL-HC-ARC_Gen Model &amp; Casework* vs MEC_Uninsulated Duct and Acc</v>
      </c>
    </row>
    <row r="131" spans="1:5" x14ac:dyDescent="0.25">
      <c r="A131" s="51" t="str">
        <v>T4</v>
      </c>
      <c r="B131" s="51" t="str">
        <v>HC</v>
      </c>
      <c r="C131" s="5" t="s">
        <v>109</v>
      </c>
      <c r="D131" s="5" t="str">
        <v>MEC_Duct Insulation</v>
      </c>
      <c r="E131" s="5" t="str">
        <f t="shared" si="4"/>
        <v>NL-HC-ARC_Gen Model &amp; Casework* vs MEC_Duct Insulation</v>
      </c>
    </row>
    <row r="132" spans="1:5" x14ac:dyDescent="0.25">
      <c r="A132" s="51" t="str">
        <v>T4</v>
      </c>
      <c r="B132" s="51" t="str">
        <v>HC</v>
      </c>
      <c r="C132" s="5" t="s">
        <v>109</v>
      </c>
      <c r="D132" s="5" t="str">
        <v>MEC_Pipe Insulation</v>
      </c>
      <c r="E132" s="5" t="str">
        <f t="shared" si="4"/>
        <v>NL-HC-ARC_Gen Model &amp; Casework* vs MEC_Pipe Insulation</v>
      </c>
    </row>
    <row r="133" spans="1:5" x14ac:dyDescent="0.25">
      <c r="A133" s="51" t="str">
        <v>T4</v>
      </c>
      <c r="B133" s="51" t="str">
        <v>HC</v>
      </c>
      <c r="C133" s="5" t="s">
        <v>109</v>
      </c>
      <c r="D133" s="5" t="str">
        <v>MEC_Uninsulated Pipes and Acc</v>
      </c>
      <c r="E133" s="5" t="str">
        <f t="shared" si="4"/>
        <v>NL-HC-ARC_Gen Model &amp; Casework* vs MEC_Uninsulated Pipes and Acc</v>
      </c>
    </row>
    <row r="134" spans="1:5" x14ac:dyDescent="0.25">
      <c r="A134" s="51" t="str">
        <v>T4</v>
      </c>
      <c r="B134" s="51" t="str">
        <v>HC</v>
      </c>
      <c r="C134" s="5" t="s">
        <v>109</v>
      </c>
      <c r="D134" s="5" t="str">
        <v>MEC_Uninulated Flexi duct</v>
      </c>
      <c r="E134" s="5" t="str">
        <f t="shared" ref="E134:E143" si="5">"NL-"&amp;B134&amp; "-"&amp; C134&amp;" vs "&amp;D134</f>
        <v>NL-HC-ARC_Gen Model &amp; Casework* vs MEC_Uninulated Flexi duct</v>
      </c>
    </row>
    <row r="135" spans="1:5" x14ac:dyDescent="0.25">
      <c r="A135" s="51" t="str">
        <v>T4</v>
      </c>
      <c r="B135" s="51" t="str">
        <v>HC</v>
      </c>
      <c r="C135" s="5" t="s">
        <v>109</v>
      </c>
      <c r="D135" s="5" t="str">
        <v>MEC_Equipment</v>
      </c>
      <c r="E135" s="5" t="str">
        <f t="shared" si="5"/>
        <v>NL-HC-ARC_Gen Model &amp; Casework* vs MEC_Equipment</v>
      </c>
    </row>
    <row r="136" spans="1:5" x14ac:dyDescent="0.25">
      <c r="A136" s="51" t="str">
        <v>T4</v>
      </c>
      <c r="B136" s="51" t="str">
        <v>HC</v>
      </c>
      <c r="C136" s="5" t="s">
        <v>109</v>
      </c>
      <c r="D136" s="5" t="str">
        <v>ELE_Cable Tray and Fittings</v>
      </c>
      <c r="E136" s="5" t="str">
        <f t="shared" si="5"/>
        <v>NL-HC-ARC_Gen Model &amp; Casework* vs ELE_Cable Tray and Fittings</v>
      </c>
    </row>
    <row r="137" spans="1:5" x14ac:dyDescent="0.25">
      <c r="A137" s="51" t="str">
        <v>T4</v>
      </c>
      <c r="B137" s="51" t="str">
        <v>HC</v>
      </c>
      <c r="C137" s="5" t="s">
        <v>109</v>
      </c>
      <c r="D137" s="5" t="str">
        <v>ELE_Conduit*</v>
      </c>
      <c r="E137" s="5" t="str">
        <f t="shared" si="5"/>
        <v>NL-HC-ARC_Gen Model &amp; Casework* vs ELE_Conduit*</v>
      </c>
    </row>
    <row r="138" spans="1:5" x14ac:dyDescent="0.25">
      <c r="A138" s="51" t="str">
        <v>T4</v>
      </c>
      <c r="B138" s="51" t="str">
        <v>HC</v>
      </c>
      <c r="C138" s="5" t="s">
        <v>109</v>
      </c>
      <c r="D138" s="5" t="str">
        <v>ELE_Electrical Equip.</v>
      </c>
      <c r="E138" s="5" t="str">
        <f t="shared" si="5"/>
        <v>NL-HC-ARC_Gen Model &amp; Casework* vs ELE_Electrical Equip.</v>
      </c>
    </row>
    <row r="139" spans="1:5" x14ac:dyDescent="0.25">
      <c r="A139" s="51" t="str">
        <v>T4</v>
      </c>
      <c r="B139" s="51" t="str">
        <v>HC</v>
      </c>
      <c r="C139" s="5" t="s">
        <v>109</v>
      </c>
      <c r="D139" s="5" t="str">
        <v>ELE_Small Devices</v>
      </c>
      <c r="E139" s="5" t="str">
        <f t="shared" si="5"/>
        <v>NL-HC-ARC_Gen Model &amp; Casework* vs ELE_Small Devices</v>
      </c>
    </row>
    <row r="140" spans="1:5" x14ac:dyDescent="0.25">
      <c r="A140" s="51" t="str">
        <v>T4</v>
      </c>
      <c r="B140" s="51" t="str">
        <v>HC</v>
      </c>
      <c r="C140" s="5" t="s">
        <v>109</v>
      </c>
      <c r="D140" s="5" t="str">
        <v>ELE_Services Lighting Fixtures</v>
      </c>
      <c r="E140" s="5" t="str">
        <f t="shared" si="5"/>
        <v>NL-HC-ARC_Gen Model &amp; Casework* vs ELE_Services Lighting Fixtures</v>
      </c>
    </row>
    <row r="141" spans="1:5" x14ac:dyDescent="0.25">
      <c r="A141" s="51" t="str">
        <v>T4</v>
      </c>
      <c r="B141" s="51" t="str">
        <v>HC</v>
      </c>
      <c r="C141" s="5" t="s">
        <v>109</v>
      </c>
      <c r="D141" s="5" t="str">
        <v>FIR_Fire Pipes</v>
      </c>
      <c r="E141" s="5" t="str">
        <f t="shared" si="5"/>
        <v>NL-HC-ARC_Gen Model &amp; Casework* vs FIR_Fire Pipes</v>
      </c>
    </row>
    <row r="142" spans="1:5" x14ac:dyDescent="0.25">
      <c r="A142" s="51">
        <v>0</v>
      </c>
      <c r="B142" s="51">
        <v>0</v>
      </c>
      <c r="C142" s="5" t="s">
        <v>109</v>
      </c>
      <c r="D142" s="5" t="str">
        <v>FIR_Sprinklers Heads</v>
      </c>
      <c r="E142" s="5" t="str">
        <f t="shared" si="5"/>
        <v>NL-0-ARC_Gen Model &amp; Casework* vs FIR_Sprinklers Heads</v>
      </c>
    </row>
    <row r="143" spans="1:5" x14ac:dyDescent="0.25">
      <c r="A143" s="51">
        <v>0</v>
      </c>
      <c r="B143" s="51">
        <v>0</v>
      </c>
      <c r="C143" s="5" t="s">
        <v>109</v>
      </c>
      <c r="D143" s="5" t="str">
        <v>FIR_Heat or Smoke Detectors</v>
      </c>
      <c r="E143" s="5" t="str">
        <f t="shared" si="5"/>
        <v>NL-0-ARC_Gen Model &amp; Casework* vs FIR_Heat or Smoke Detectors</v>
      </c>
    </row>
    <row r="144" spans="1:5" x14ac:dyDescent="0.25">
      <c r="A144" s="51" cm="1">
        <f t="array" ref="A144:A176">TRANSPOSE('Clash Matrix (Update to suit)'!G10:AM10)</f>
        <v>0</v>
      </c>
      <c r="B144" s="51" cm="1">
        <f t="array" ref="B144:B176">TRANSPOSE('Clash Matrix (Update to suit)'!G11:AM11)</f>
        <v>0</v>
      </c>
      <c r="C144" s="5" t="s">
        <v>110</v>
      </c>
      <c r="D144" s="5" t="str" cm="1">
        <f t="array" ref="D144:D176">TRANSPOSE('Clash Matrix (Update to suit)'!G1:AM1)</f>
        <v>ARC_Roof</v>
      </c>
      <c r="E144" s="5" t="str">
        <f t="shared" ref="E144:E175" si="6">"NL-"&amp;B144&amp; "-"&amp; C144&amp;" vs "&amp;D144</f>
        <v>NL-0-ARC_Roof vs ARC_Roof</v>
      </c>
    </row>
    <row r="145" spans="1:5" x14ac:dyDescent="0.25">
      <c r="A145" s="51">
        <v>0</v>
      </c>
      <c r="B145" s="51">
        <v>0</v>
      </c>
      <c r="C145" s="5" t="s">
        <v>110</v>
      </c>
      <c r="D145" s="5" t="str">
        <v>ARC_Fire &amp; Acoustic Wall</v>
      </c>
      <c r="E145" s="5" t="str">
        <f t="shared" si="6"/>
        <v>NL-0-ARC_Roof vs ARC_Fire &amp; Acoustic Wall</v>
      </c>
    </row>
    <row r="146" spans="1:5" x14ac:dyDescent="0.25">
      <c r="A146" s="51">
        <v>0</v>
      </c>
      <c r="B146" s="51">
        <v>0</v>
      </c>
      <c r="C146" s="5" t="s">
        <v>110</v>
      </c>
      <c r="D146" s="5" t="str">
        <v>ARC_Windows</v>
      </c>
      <c r="E146" s="5" t="str">
        <f t="shared" si="6"/>
        <v>NL-0-ARC_Roof vs ARC_Windows</v>
      </c>
    </row>
    <row r="147" spans="1:5" x14ac:dyDescent="0.25">
      <c r="A147" s="51">
        <v>0</v>
      </c>
      <c r="B147" s="51">
        <v>0</v>
      </c>
      <c r="C147" s="5" t="s">
        <v>110</v>
      </c>
      <c r="D147" s="5" t="str">
        <v>ARC_Services Walkway</v>
      </c>
      <c r="E147" s="5" t="str">
        <f t="shared" si="6"/>
        <v>NL-0-ARC_Roof vs ARC_Services Walkway</v>
      </c>
    </row>
    <row r="148" spans="1:5" x14ac:dyDescent="0.25">
      <c r="A148" s="51">
        <v>0</v>
      </c>
      <c r="B148" s="51">
        <v>0</v>
      </c>
      <c r="C148" s="5" t="s">
        <v>110</v>
      </c>
      <c r="D148" s="5" t="str">
        <v>ARC_Accessible Path</v>
      </c>
      <c r="E148" s="5" t="str">
        <f t="shared" si="6"/>
        <v>NL-0-ARC_Roof vs ARC_Accessible Path</v>
      </c>
    </row>
    <row r="149" spans="1:5" x14ac:dyDescent="0.25">
      <c r="A149" s="51">
        <v>0</v>
      </c>
      <c r="B149" s="51">
        <v>0</v>
      </c>
      <c r="C149" s="5" t="s">
        <v>110</v>
      </c>
      <c r="D149" s="5" t="str">
        <v>SRV_Access Panel</v>
      </c>
      <c r="E149" s="5" t="str">
        <f t="shared" si="6"/>
        <v>NL-0-ARC_Roof vs SRV_Access Panel</v>
      </c>
    </row>
    <row r="150" spans="1:5" x14ac:dyDescent="0.25">
      <c r="A150" s="51">
        <v>0</v>
      </c>
      <c r="B150" s="51">
        <v>0</v>
      </c>
      <c r="C150" s="5" t="s">
        <v>110</v>
      </c>
      <c r="D150" s="5" t="str">
        <v>ARC_Lighting Fixtures</v>
      </c>
      <c r="E150" s="5" t="str">
        <f t="shared" si="6"/>
        <v>NL-0-ARC_Roof vs ARC_Lighting Fixtures</v>
      </c>
    </row>
    <row r="151" spans="1:5" x14ac:dyDescent="0.25">
      <c r="A151" s="51">
        <v>0</v>
      </c>
      <c r="B151" s="51">
        <v>0</v>
      </c>
      <c r="C151" s="5" t="s">
        <v>110</v>
      </c>
      <c r="D151" s="5" t="str">
        <v>ARC_Plumbing Fixtures</v>
      </c>
      <c r="E151" s="5" t="str">
        <f t="shared" si="6"/>
        <v>NL-0-ARC_Roof vs ARC_Plumbing Fixtures</v>
      </c>
    </row>
    <row r="152" spans="1:5" x14ac:dyDescent="0.25">
      <c r="A152" s="51">
        <v>0</v>
      </c>
      <c r="B152" s="51">
        <v>0</v>
      </c>
      <c r="C152" s="5" t="s">
        <v>110</v>
      </c>
      <c r="D152" s="5" t="str">
        <v>ARC_SOG Floor Insulation</v>
      </c>
      <c r="E152" s="5" t="str">
        <f t="shared" si="6"/>
        <v>NL-0-ARC_Roof vs ARC_SOG Floor Insulation</v>
      </c>
    </row>
    <row r="153" spans="1:5" x14ac:dyDescent="0.25">
      <c r="A153" s="51">
        <v>0</v>
      </c>
      <c r="B153" s="51">
        <v>0</v>
      </c>
      <c r="C153" s="5" t="s">
        <v>110</v>
      </c>
      <c r="D153" s="5" t="str">
        <v>STR_Seismic Elements</v>
      </c>
      <c r="E153" s="5" t="str">
        <f t="shared" si="6"/>
        <v>NL-0-ARC_Roof vs STR_Seismic Elements</v>
      </c>
    </row>
    <row r="154" spans="1:5" x14ac:dyDescent="0.25">
      <c r="A154" s="51">
        <v>0</v>
      </c>
      <c r="B154" s="51">
        <v>0</v>
      </c>
      <c r="C154" s="5" t="s">
        <v>110</v>
      </c>
      <c r="D154" s="5" t="str">
        <v>STR_Conc work Excl Floor Slab</v>
      </c>
      <c r="E154" s="5" t="str">
        <f t="shared" si="6"/>
        <v>NL-0-ARC_Roof vs STR_Conc work Excl Floor Slab</v>
      </c>
    </row>
    <row r="155" spans="1:5" x14ac:dyDescent="0.25">
      <c r="A155" s="51">
        <v>0</v>
      </c>
      <c r="B155" s="51">
        <v>0</v>
      </c>
      <c r="C155" s="5" t="s">
        <v>110</v>
      </c>
      <c r="D155" s="5" t="str">
        <v>STR_Steelwork (Bracing and Columns)</v>
      </c>
      <c r="E155" s="5" t="str">
        <f t="shared" si="6"/>
        <v>NL-0-ARC_Roof vs STR_Steelwork (Bracing and Columns)</v>
      </c>
    </row>
    <row r="156" spans="1:5" x14ac:dyDescent="0.25">
      <c r="A156" s="51">
        <v>0</v>
      </c>
      <c r="B156" s="51">
        <v>0</v>
      </c>
      <c r="C156" s="5" t="s">
        <v>110</v>
      </c>
      <c r="D156" s="5" t="str">
        <v>STR Floor</v>
      </c>
      <c r="E156" s="5" t="str">
        <f t="shared" si="6"/>
        <v>NL-0-ARC_Roof vs STR Floor</v>
      </c>
    </row>
    <row r="157" spans="1:5" x14ac:dyDescent="0.25">
      <c r="A157" s="51">
        <v>0</v>
      </c>
      <c r="B157" s="51">
        <v>0</v>
      </c>
      <c r="C157" s="5" t="s">
        <v>110</v>
      </c>
      <c r="D157" s="5" t="str">
        <v>HYD_Uninsulated Pipes and Acc</v>
      </c>
      <c r="E157" s="5" t="str">
        <f t="shared" si="6"/>
        <v>NL-0-ARC_Roof vs HYD_Uninsulated Pipes and Acc</v>
      </c>
    </row>
    <row r="158" spans="1:5" x14ac:dyDescent="0.25">
      <c r="A158" s="51">
        <v>0</v>
      </c>
      <c r="B158" s="51">
        <v>0</v>
      </c>
      <c r="C158" s="5" t="s">
        <v>110</v>
      </c>
      <c r="D158" s="5" t="str">
        <v>HYD_Pipe Insulation</v>
      </c>
      <c r="E158" s="5" t="str">
        <f t="shared" si="6"/>
        <v>NL-0-ARC_Roof vs HYD_Pipe Insulation</v>
      </c>
    </row>
    <row r="159" spans="1:5" x14ac:dyDescent="0.25">
      <c r="A159" s="51">
        <v>0</v>
      </c>
      <c r="B159" s="51">
        <v>0</v>
      </c>
      <c r="C159" s="5" t="s">
        <v>110</v>
      </c>
      <c r="D159" s="5" t="str">
        <v>HYD_Uninsulated Hot and Cold Pipes and Acc</v>
      </c>
      <c r="E159" s="5" t="str">
        <f t="shared" si="6"/>
        <v>NL-0-ARC_Roof vs HYD_Uninsulated Hot and Cold Pipes and Acc</v>
      </c>
    </row>
    <row r="160" spans="1:5" x14ac:dyDescent="0.25">
      <c r="A160" s="51">
        <v>0</v>
      </c>
      <c r="B160" s="51">
        <v>0</v>
      </c>
      <c r="C160" s="5" t="s">
        <v>110</v>
      </c>
      <c r="D160" s="5" t="str">
        <v>HYD_Hot and Cold Insulation</v>
      </c>
      <c r="E160" s="5" t="str">
        <f t="shared" si="6"/>
        <v>NL-0-ARC_Roof vs HYD_Hot and Cold Insulation</v>
      </c>
    </row>
    <row r="161" spans="1:5" x14ac:dyDescent="0.25">
      <c r="A161" s="51">
        <v>0</v>
      </c>
      <c r="B161" s="51">
        <v>0</v>
      </c>
      <c r="C161" s="5" t="s">
        <v>110</v>
      </c>
      <c r="D161" s="5" t="str">
        <v>HYD_Plumbing Fixture</v>
      </c>
      <c r="E161" s="5" t="str">
        <f t="shared" si="6"/>
        <v>NL-0-ARC_Roof vs HYD_Plumbing Fixture</v>
      </c>
    </row>
    <row r="162" spans="1:5" x14ac:dyDescent="0.25">
      <c r="A162" s="51">
        <v>0</v>
      </c>
      <c r="B162" s="51">
        <v>0</v>
      </c>
      <c r="C162" s="5" t="s">
        <v>110</v>
      </c>
      <c r="D162" s="5" t="str">
        <v>MEC_Air Terminals</v>
      </c>
      <c r="E162" s="5" t="str">
        <f t="shared" si="6"/>
        <v>NL-0-ARC_Roof vs MEC_Air Terminals</v>
      </c>
    </row>
    <row r="163" spans="1:5" x14ac:dyDescent="0.25">
      <c r="A163" s="51">
        <v>0</v>
      </c>
      <c r="B163" s="51">
        <v>0</v>
      </c>
      <c r="C163" s="5" t="s">
        <v>110</v>
      </c>
      <c r="D163" s="5" t="str">
        <v>MEC_Uninsulated Duct and Acc</v>
      </c>
      <c r="E163" s="5" t="str">
        <f t="shared" si="6"/>
        <v>NL-0-ARC_Roof vs MEC_Uninsulated Duct and Acc</v>
      </c>
    </row>
    <row r="164" spans="1:5" x14ac:dyDescent="0.25">
      <c r="A164" s="51">
        <v>0</v>
      </c>
      <c r="B164" s="51">
        <v>0</v>
      </c>
      <c r="C164" s="5" t="s">
        <v>110</v>
      </c>
      <c r="D164" s="5" t="str">
        <v>MEC_Duct Insulation</v>
      </c>
      <c r="E164" s="5" t="str">
        <f t="shared" si="6"/>
        <v>NL-0-ARC_Roof vs MEC_Duct Insulation</v>
      </c>
    </row>
    <row r="165" spans="1:5" x14ac:dyDescent="0.25">
      <c r="A165" s="51">
        <v>0</v>
      </c>
      <c r="B165" s="51">
        <v>0</v>
      </c>
      <c r="C165" s="5" t="s">
        <v>110</v>
      </c>
      <c r="D165" s="5" t="str">
        <v>MEC_Pipe Insulation</v>
      </c>
      <c r="E165" s="5" t="str">
        <f t="shared" si="6"/>
        <v>NL-0-ARC_Roof vs MEC_Pipe Insulation</v>
      </c>
    </row>
    <row r="166" spans="1:5" x14ac:dyDescent="0.25">
      <c r="A166" s="51">
        <v>0</v>
      </c>
      <c r="B166" s="51">
        <v>0</v>
      </c>
      <c r="C166" s="5" t="s">
        <v>110</v>
      </c>
      <c r="D166" s="5" t="str">
        <v>MEC_Uninsulated Pipes and Acc</v>
      </c>
      <c r="E166" s="5" t="str">
        <f t="shared" si="6"/>
        <v>NL-0-ARC_Roof vs MEC_Uninsulated Pipes and Acc</v>
      </c>
    </row>
    <row r="167" spans="1:5" x14ac:dyDescent="0.25">
      <c r="A167" s="51">
        <v>0</v>
      </c>
      <c r="B167" s="51">
        <v>0</v>
      </c>
      <c r="C167" s="5" t="s">
        <v>110</v>
      </c>
      <c r="D167" s="5" t="str">
        <v>MEC_Uninulated Flexi duct</v>
      </c>
      <c r="E167" s="5" t="str">
        <f t="shared" si="6"/>
        <v>NL-0-ARC_Roof vs MEC_Uninulated Flexi duct</v>
      </c>
    </row>
    <row r="168" spans="1:5" x14ac:dyDescent="0.25">
      <c r="A168" s="51">
        <v>0</v>
      </c>
      <c r="B168" s="51">
        <v>0</v>
      </c>
      <c r="C168" s="5" t="s">
        <v>110</v>
      </c>
      <c r="D168" s="5" t="str">
        <v>MEC_Equipment</v>
      </c>
      <c r="E168" s="5" t="str">
        <f t="shared" si="6"/>
        <v>NL-0-ARC_Roof vs MEC_Equipment</v>
      </c>
    </row>
    <row r="169" spans="1:5" x14ac:dyDescent="0.25">
      <c r="A169" s="51">
        <v>0</v>
      </c>
      <c r="B169" s="51">
        <v>0</v>
      </c>
      <c r="C169" s="5" t="s">
        <v>110</v>
      </c>
      <c r="D169" s="5" t="str">
        <v>ELE_Cable Tray and Fittings</v>
      </c>
      <c r="E169" s="5" t="str">
        <f t="shared" si="6"/>
        <v>NL-0-ARC_Roof vs ELE_Cable Tray and Fittings</v>
      </c>
    </row>
    <row r="170" spans="1:5" x14ac:dyDescent="0.25">
      <c r="A170" s="51">
        <v>0</v>
      </c>
      <c r="B170" s="51">
        <v>0</v>
      </c>
      <c r="C170" s="5" t="s">
        <v>110</v>
      </c>
      <c r="D170" s="5" t="str">
        <v>ELE_Conduit*</v>
      </c>
      <c r="E170" s="5" t="str">
        <f t="shared" si="6"/>
        <v>NL-0-ARC_Roof vs ELE_Conduit*</v>
      </c>
    </row>
    <row r="171" spans="1:5" x14ac:dyDescent="0.25">
      <c r="A171" s="51">
        <v>0</v>
      </c>
      <c r="B171" s="51">
        <v>0</v>
      </c>
      <c r="C171" s="5" t="s">
        <v>110</v>
      </c>
      <c r="D171" s="5" t="str">
        <v>ELE_Electrical Equip.</v>
      </c>
      <c r="E171" s="5" t="str">
        <f t="shared" si="6"/>
        <v>NL-0-ARC_Roof vs ELE_Electrical Equip.</v>
      </c>
    </row>
    <row r="172" spans="1:5" x14ac:dyDescent="0.25">
      <c r="A172" s="51">
        <v>0</v>
      </c>
      <c r="B172" s="51">
        <v>0</v>
      </c>
      <c r="C172" s="5" t="s">
        <v>110</v>
      </c>
      <c r="D172" s="5" t="str">
        <v>ELE_Small Devices</v>
      </c>
      <c r="E172" s="5" t="str">
        <f t="shared" si="6"/>
        <v>NL-0-ARC_Roof vs ELE_Small Devices</v>
      </c>
    </row>
    <row r="173" spans="1:5" x14ac:dyDescent="0.25">
      <c r="A173" s="51">
        <v>0</v>
      </c>
      <c r="B173" s="51">
        <v>0</v>
      </c>
      <c r="C173" s="5" t="s">
        <v>110</v>
      </c>
      <c r="D173" s="5" t="str">
        <v>ELE_Services Lighting Fixtures</v>
      </c>
      <c r="E173" s="5" t="str">
        <f t="shared" si="6"/>
        <v>NL-0-ARC_Roof vs ELE_Services Lighting Fixtures</v>
      </c>
    </row>
    <row r="174" spans="1:5" x14ac:dyDescent="0.25">
      <c r="A174" s="51">
        <v>0</v>
      </c>
      <c r="B174" s="51">
        <v>0</v>
      </c>
      <c r="C174" s="5" t="s">
        <v>110</v>
      </c>
      <c r="D174" s="5" t="str">
        <v>FIR_Fire Pipes</v>
      </c>
      <c r="E174" s="5" t="str">
        <f t="shared" si="6"/>
        <v>NL-0-ARC_Roof vs FIR_Fire Pipes</v>
      </c>
    </row>
    <row r="175" spans="1:5" x14ac:dyDescent="0.25">
      <c r="A175" s="51">
        <v>0</v>
      </c>
      <c r="B175" s="51">
        <v>0</v>
      </c>
      <c r="C175" s="5" t="s">
        <v>110</v>
      </c>
      <c r="D175" s="5" t="str">
        <v>FIR_Sprinklers Heads</v>
      </c>
      <c r="E175" s="5" t="str">
        <f t="shared" si="6"/>
        <v>NL-0-ARC_Roof vs FIR_Sprinklers Heads</v>
      </c>
    </row>
    <row r="176" spans="1:5" x14ac:dyDescent="0.25">
      <c r="A176" s="51">
        <v>0</v>
      </c>
      <c r="B176" s="51">
        <v>0</v>
      </c>
      <c r="C176" s="5" t="s">
        <v>110</v>
      </c>
      <c r="D176" s="5" t="str">
        <v>FIR_Heat or Smoke Detectors</v>
      </c>
      <c r="E176" s="5" t="str">
        <f t="shared" ref="E176:E199" si="7">"NL-"&amp;B176&amp; "-"&amp; C176&amp;" vs "&amp;D176</f>
        <v>NL-0-ARC_Roof vs FIR_Heat or Smoke Detectors</v>
      </c>
    </row>
    <row r="177" spans="1:5" x14ac:dyDescent="0.25">
      <c r="A177" s="51" cm="1">
        <f t="array" ref="A177:A208">TRANSPOSE('Clash Matrix (Update to suit)'!H12:AM12)</f>
        <v>0</v>
      </c>
      <c r="B177" s="51" cm="1">
        <f t="array" ref="B177:B208">TRANSPOSE('Clash Matrix (Update to suit)'!H13:AM13)</f>
        <v>0</v>
      </c>
      <c r="C177" s="5" t="str">
        <f>'Item Categories'!C7</f>
        <v>ARC_Fire &amp; Acoustic Wall</v>
      </c>
      <c r="D177" s="5" t="str" cm="1">
        <f t="array" ref="D177:D208">TRANSPOSE('Clash Matrix (Update to suit)'!H1:AM1)</f>
        <v>ARC_Fire &amp; Acoustic Wall</v>
      </c>
      <c r="E177" s="5" t="str">
        <f t="shared" si="7"/>
        <v>NL-0-ARC_Fire &amp; Acoustic Wall vs ARC_Fire &amp; Acoustic Wall</v>
      </c>
    </row>
    <row r="178" spans="1:5" x14ac:dyDescent="0.25">
      <c r="A178" s="51">
        <v>0</v>
      </c>
      <c r="B178" s="51">
        <v>0</v>
      </c>
      <c r="C178" s="5" t="str">
        <f>C177</f>
        <v>ARC_Fire &amp; Acoustic Wall</v>
      </c>
      <c r="D178" s="5" t="str">
        <v>ARC_Windows</v>
      </c>
      <c r="E178" s="5" t="str">
        <f t="shared" si="7"/>
        <v>NL-0-ARC_Fire &amp; Acoustic Wall vs ARC_Windows</v>
      </c>
    </row>
    <row r="179" spans="1:5" x14ac:dyDescent="0.25">
      <c r="A179" s="51">
        <v>0</v>
      </c>
      <c r="B179" s="51">
        <v>0</v>
      </c>
      <c r="C179" s="5" t="str">
        <f t="shared" ref="C179:C208" si="8">C178</f>
        <v>ARC_Fire &amp; Acoustic Wall</v>
      </c>
      <c r="D179" s="5" t="str">
        <v>ARC_Services Walkway</v>
      </c>
      <c r="E179" s="5" t="str">
        <f t="shared" si="7"/>
        <v>NL-0-ARC_Fire &amp; Acoustic Wall vs ARC_Services Walkway</v>
      </c>
    </row>
    <row r="180" spans="1:5" x14ac:dyDescent="0.25">
      <c r="A180" s="51">
        <v>0</v>
      </c>
      <c r="B180" s="51">
        <v>0</v>
      </c>
      <c r="C180" s="5" t="str">
        <f t="shared" si="8"/>
        <v>ARC_Fire &amp; Acoustic Wall</v>
      </c>
      <c r="D180" s="5" t="str">
        <v>ARC_Accessible Path</v>
      </c>
      <c r="E180" s="5" t="str">
        <f t="shared" si="7"/>
        <v>NL-0-ARC_Fire &amp; Acoustic Wall vs ARC_Accessible Path</v>
      </c>
    </row>
    <row r="181" spans="1:5" x14ac:dyDescent="0.25">
      <c r="A181" s="51" t="str">
        <v>T2</v>
      </c>
      <c r="B181" s="51" t="str">
        <v>C50</v>
      </c>
      <c r="C181" s="5" t="str">
        <f t="shared" si="8"/>
        <v>ARC_Fire &amp; Acoustic Wall</v>
      </c>
      <c r="D181" s="5" t="str">
        <v>SRV_Access Panel</v>
      </c>
      <c r="E181" s="5" t="str">
        <f t="shared" si="7"/>
        <v>NL-C50-ARC_Fire &amp; Acoustic Wall vs SRV_Access Panel</v>
      </c>
    </row>
    <row r="182" spans="1:5" x14ac:dyDescent="0.25">
      <c r="A182" s="51">
        <v>0</v>
      </c>
      <c r="B182" s="51">
        <v>0</v>
      </c>
      <c r="C182" s="5" t="str">
        <f t="shared" si="8"/>
        <v>ARC_Fire &amp; Acoustic Wall</v>
      </c>
      <c r="D182" s="5" t="str">
        <v>ARC_Lighting Fixtures</v>
      </c>
      <c r="E182" s="5" t="str">
        <f t="shared" si="7"/>
        <v>NL-0-ARC_Fire &amp; Acoustic Wall vs ARC_Lighting Fixtures</v>
      </c>
    </row>
    <row r="183" spans="1:5" x14ac:dyDescent="0.25">
      <c r="A183" s="51">
        <v>0</v>
      </c>
      <c r="B183" s="51">
        <v>0</v>
      </c>
      <c r="C183" s="5" t="str">
        <f t="shared" si="8"/>
        <v>ARC_Fire &amp; Acoustic Wall</v>
      </c>
      <c r="D183" s="5" t="str">
        <v>ARC_Plumbing Fixtures</v>
      </c>
      <c r="E183" s="5" t="str">
        <f t="shared" si="7"/>
        <v>NL-0-ARC_Fire &amp; Acoustic Wall vs ARC_Plumbing Fixtures</v>
      </c>
    </row>
    <row r="184" spans="1:5" x14ac:dyDescent="0.25">
      <c r="A184" s="51">
        <v>0</v>
      </c>
      <c r="B184" s="51">
        <v>0</v>
      </c>
      <c r="C184" s="5" t="str">
        <f t="shared" si="8"/>
        <v>ARC_Fire &amp; Acoustic Wall</v>
      </c>
      <c r="D184" s="5" t="str">
        <v>ARC_SOG Floor Insulation</v>
      </c>
      <c r="E184" s="5" t="str">
        <f t="shared" si="7"/>
        <v>NL-0-ARC_Fire &amp; Acoustic Wall vs ARC_SOG Floor Insulation</v>
      </c>
    </row>
    <row r="185" spans="1:5" x14ac:dyDescent="0.25">
      <c r="A185" s="51" t="str">
        <v>T2</v>
      </c>
      <c r="B185" s="51" t="str">
        <v>HC</v>
      </c>
      <c r="C185" s="5" t="str">
        <f t="shared" si="8"/>
        <v>ARC_Fire &amp; Acoustic Wall</v>
      </c>
      <c r="D185" s="5" t="str">
        <v>STR_Seismic Elements</v>
      </c>
      <c r="E185" s="5" t="str">
        <f t="shared" si="7"/>
        <v>NL-HC-ARC_Fire &amp; Acoustic Wall vs STR_Seismic Elements</v>
      </c>
    </row>
    <row r="186" spans="1:5" x14ac:dyDescent="0.25">
      <c r="A186" s="51" t="str">
        <v>T2</v>
      </c>
      <c r="B186" s="51" t="str">
        <v>HC</v>
      </c>
      <c r="C186" s="5" t="str">
        <f t="shared" si="8"/>
        <v>ARC_Fire &amp; Acoustic Wall</v>
      </c>
      <c r="D186" s="5" t="str">
        <v>STR_Conc work Excl Floor Slab</v>
      </c>
      <c r="E186" s="5" t="str">
        <f t="shared" si="7"/>
        <v>NL-HC-ARC_Fire &amp; Acoustic Wall vs STR_Conc work Excl Floor Slab</v>
      </c>
    </row>
    <row r="187" spans="1:5" x14ac:dyDescent="0.25">
      <c r="A187" s="51" t="str">
        <v>T2</v>
      </c>
      <c r="B187" s="51" t="str">
        <v>HC</v>
      </c>
      <c r="C187" s="5" t="str">
        <f t="shared" si="8"/>
        <v>ARC_Fire &amp; Acoustic Wall</v>
      </c>
      <c r="D187" s="5" t="str">
        <v>STR_Steelwork (Bracing and Columns)</v>
      </c>
      <c r="E187" s="5" t="str">
        <f t="shared" si="7"/>
        <v>NL-HC-ARC_Fire &amp; Acoustic Wall vs STR_Steelwork (Bracing and Columns)</v>
      </c>
    </row>
    <row r="188" spans="1:5" x14ac:dyDescent="0.25">
      <c r="A188" s="51" t="str">
        <v>T2</v>
      </c>
      <c r="B188" s="51" t="str">
        <v>HC</v>
      </c>
      <c r="C188" s="5" t="str">
        <f t="shared" si="8"/>
        <v>ARC_Fire &amp; Acoustic Wall</v>
      </c>
      <c r="D188" s="5" t="str">
        <v>STR Floor</v>
      </c>
      <c r="E188" s="5" t="str">
        <f t="shared" si="7"/>
        <v>NL-HC-ARC_Fire &amp; Acoustic Wall vs STR Floor</v>
      </c>
    </row>
    <row r="189" spans="1:5" x14ac:dyDescent="0.25">
      <c r="A189" s="51" t="str">
        <v>T2</v>
      </c>
      <c r="B189" s="51" t="str">
        <v>C50</v>
      </c>
      <c r="C189" s="5" t="str">
        <f t="shared" si="8"/>
        <v>ARC_Fire &amp; Acoustic Wall</v>
      </c>
      <c r="D189" s="5" t="str">
        <v>HYD_Uninsulated Pipes and Acc</v>
      </c>
      <c r="E189" s="5" t="str">
        <f t="shared" si="7"/>
        <v>NL-C50-ARC_Fire &amp; Acoustic Wall vs HYD_Uninsulated Pipes and Acc</v>
      </c>
    </row>
    <row r="190" spans="1:5" x14ac:dyDescent="0.25">
      <c r="A190" s="51" t="str">
        <v>T2</v>
      </c>
      <c r="B190" s="51" t="str">
        <v>C50</v>
      </c>
      <c r="C190" s="5" t="str">
        <f t="shared" si="8"/>
        <v>ARC_Fire &amp; Acoustic Wall</v>
      </c>
      <c r="D190" s="5" t="str">
        <v>HYD_Pipe Insulation</v>
      </c>
      <c r="E190" s="5" t="str">
        <f t="shared" si="7"/>
        <v>NL-C50-ARC_Fire &amp; Acoustic Wall vs HYD_Pipe Insulation</v>
      </c>
    </row>
    <row r="191" spans="1:5" x14ac:dyDescent="0.25">
      <c r="A191" s="51" t="str">
        <v>T2</v>
      </c>
      <c r="B191" s="51" t="str">
        <v>C50</v>
      </c>
      <c r="C191" s="5" t="str">
        <f t="shared" si="8"/>
        <v>ARC_Fire &amp; Acoustic Wall</v>
      </c>
      <c r="D191" s="5" t="str">
        <v>HYD_Uninsulated Hot and Cold Pipes and Acc</v>
      </c>
      <c r="E191" s="5" t="str">
        <f t="shared" si="7"/>
        <v>NL-C50-ARC_Fire &amp; Acoustic Wall vs HYD_Uninsulated Hot and Cold Pipes and Acc</v>
      </c>
    </row>
    <row r="192" spans="1:5" x14ac:dyDescent="0.25">
      <c r="A192" s="51" t="str">
        <v>T2</v>
      </c>
      <c r="B192" s="51" t="str">
        <v>C50</v>
      </c>
      <c r="C192" s="5" t="str">
        <f t="shared" si="8"/>
        <v>ARC_Fire &amp; Acoustic Wall</v>
      </c>
      <c r="D192" s="5" t="str">
        <v>HYD_Hot and Cold Insulation</v>
      </c>
      <c r="E192" s="5" t="str">
        <f t="shared" si="7"/>
        <v>NL-C50-ARC_Fire &amp; Acoustic Wall vs HYD_Hot and Cold Insulation</v>
      </c>
    </row>
    <row r="193" spans="1:5" x14ac:dyDescent="0.25">
      <c r="A193" s="51" t="str">
        <v>T2</v>
      </c>
      <c r="B193" s="51" t="str">
        <v>C50</v>
      </c>
      <c r="C193" s="5" t="str">
        <f t="shared" si="8"/>
        <v>ARC_Fire &amp; Acoustic Wall</v>
      </c>
      <c r="D193" s="5" t="str">
        <v>HYD_Plumbing Fixture</v>
      </c>
      <c r="E193" s="5" t="str">
        <f t="shared" si="7"/>
        <v>NL-C50-ARC_Fire &amp; Acoustic Wall vs HYD_Plumbing Fixture</v>
      </c>
    </row>
    <row r="194" spans="1:5" x14ac:dyDescent="0.25">
      <c r="A194" s="51">
        <v>0</v>
      </c>
      <c r="B194" s="51">
        <v>0</v>
      </c>
      <c r="C194" s="5" t="str">
        <f t="shared" si="8"/>
        <v>ARC_Fire &amp; Acoustic Wall</v>
      </c>
      <c r="D194" s="5" t="str">
        <v>MEC_Air Terminals</v>
      </c>
      <c r="E194" s="5" t="str">
        <f t="shared" si="7"/>
        <v>NL-0-ARC_Fire &amp; Acoustic Wall vs MEC_Air Terminals</v>
      </c>
    </row>
    <row r="195" spans="1:5" x14ac:dyDescent="0.25">
      <c r="A195" s="51" t="str">
        <v>T2</v>
      </c>
      <c r="B195" s="51" t="str">
        <v>C50</v>
      </c>
      <c r="C195" s="5" t="str">
        <f t="shared" si="8"/>
        <v>ARC_Fire &amp; Acoustic Wall</v>
      </c>
      <c r="D195" s="5" t="str">
        <v>MEC_Uninsulated Duct and Acc</v>
      </c>
      <c r="E195" s="5" t="str">
        <f t="shared" si="7"/>
        <v>NL-C50-ARC_Fire &amp; Acoustic Wall vs MEC_Uninsulated Duct and Acc</v>
      </c>
    </row>
    <row r="196" spans="1:5" x14ac:dyDescent="0.25">
      <c r="A196" s="51" t="str">
        <v>T2</v>
      </c>
      <c r="B196" s="51" t="str">
        <v>C50</v>
      </c>
      <c r="C196" s="5" t="str">
        <f t="shared" si="8"/>
        <v>ARC_Fire &amp; Acoustic Wall</v>
      </c>
      <c r="D196" s="5" t="str">
        <v>MEC_Duct Insulation</v>
      </c>
      <c r="E196" s="5" t="str">
        <f t="shared" si="7"/>
        <v>NL-C50-ARC_Fire &amp; Acoustic Wall vs MEC_Duct Insulation</v>
      </c>
    </row>
    <row r="197" spans="1:5" x14ac:dyDescent="0.25">
      <c r="A197" s="51" t="str">
        <v>T2</v>
      </c>
      <c r="B197" s="51" t="str">
        <v>C50</v>
      </c>
      <c r="C197" s="5" t="str">
        <f t="shared" si="8"/>
        <v>ARC_Fire &amp; Acoustic Wall</v>
      </c>
      <c r="D197" s="5" t="str">
        <v>MEC_Pipe Insulation</v>
      </c>
      <c r="E197" s="5" t="str">
        <f t="shared" si="7"/>
        <v>NL-C50-ARC_Fire &amp; Acoustic Wall vs MEC_Pipe Insulation</v>
      </c>
    </row>
    <row r="198" spans="1:5" x14ac:dyDescent="0.25">
      <c r="A198" s="51" t="str">
        <v>T2</v>
      </c>
      <c r="B198" s="51" t="str">
        <v>C50</v>
      </c>
      <c r="C198" s="5" t="str">
        <f t="shared" si="8"/>
        <v>ARC_Fire &amp; Acoustic Wall</v>
      </c>
      <c r="D198" s="5" t="str">
        <v>MEC_Uninsulated Pipes and Acc</v>
      </c>
      <c r="E198" s="5" t="str">
        <f t="shared" si="7"/>
        <v>NL-C50-ARC_Fire &amp; Acoustic Wall vs MEC_Uninsulated Pipes and Acc</v>
      </c>
    </row>
    <row r="199" spans="1:5" x14ac:dyDescent="0.25">
      <c r="A199" s="51" t="str">
        <v>T2</v>
      </c>
      <c r="B199" s="51" t="str">
        <v>C50</v>
      </c>
      <c r="C199" s="5" t="str">
        <f t="shared" si="8"/>
        <v>ARC_Fire &amp; Acoustic Wall</v>
      </c>
      <c r="D199" s="5" t="str">
        <v>MEC_Uninulated Flexi duct</v>
      </c>
      <c r="E199" s="5" t="str">
        <f t="shared" si="7"/>
        <v>NL-C50-ARC_Fire &amp; Acoustic Wall vs MEC_Uninulated Flexi duct</v>
      </c>
    </row>
    <row r="200" spans="1:5" x14ac:dyDescent="0.25">
      <c r="A200" s="51" t="str">
        <v>T2</v>
      </c>
      <c r="B200" s="51" t="str">
        <v>C50</v>
      </c>
      <c r="C200" s="5" t="str">
        <f t="shared" si="8"/>
        <v>ARC_Fire &amp; Acoustic Wall</v>
      </c>
      <c r="D200" s="5" t="str">
        <v>MEC_Equipment</v>
      </c>
      <c r="E200" s="5" t="str">
        <f t="shared" ref="E200:E208" si="9">"NL-"&amp;B200&amp; "-"&amp; C200&amp;" vs "&amp;D200</f>
        <v>NL-C50-ARC_Fire &amp; Acoustic Wall vs MEC_Equipment</v>
      </c>
    </row>
    <row r="201" spans="1:5" x14ac:dyDescent="0.25">
      <c r="A201" s="51" t="str">
        <v>T2</v>
      </c>
      <c r="B201" s="51" t="str">
        <v>C50</v>
      </c>
      <c r="C201" s="5" t="str">
        <f t="shared" si="8"/>
        <v>ARC_Fire &amp; Acoustic Wall</v>
      </c>
      <c r="D201" s="5" t="str">
        <v>ELE_Cable Tray and Fittings</v>
      </c>
      <c r="E201" s="5" t="str">
        <f t="shared" si="9"/>
        <v>NL-C50-ARC_Fire &amp; Acoustic Wall vs ELE_Cable Tray and Fittings</v>
      </c>
    </row>
    <row r="202" spans="1:5" x14ac:dyDescent="0.25">
      <c r="A202" s="51" t="str">
        <v>T2</v>
      </c>
      <c r="B202" s="51" t="str">
        <v>C50</v>
      </c>
      <c r="C202" s="5" t="str">
        <f t="shared" si="8"/>
        <v>ARC_Fire &amp; Acoustic Wall</v>
      </c>
      <c r="D202" s="5" t="str">
        <v>ELE_Conduit*</v>
      </c>
      <c r="E202" s="5" t="str">
        <f t="shared" si="9"/>
        <v>NL-C50-ARC_Fire &amp; Acoustic Wall vs ELE_Conduit*</v>
      </c>
    </row>
    <row r="203" spans="1:5" x14ac:dyDescent="0.25">
      <c r="A203" s="51" t="str">
        <v>T2</v>
      </c>
      <c r="B203" s="51" t="str">
        <v>C50</v>
      </c>
      <c r="C203" s="5" t="str">
        <f t="shared" si="8"/>
        <v>ARC_Fire &amp; Acoustic Wall</v>
      </c>
      <c r="D203" s="5" t="str">
        <v>ELE_Electrical Equip.</v>
      </c>
      <c r="E203" s="5" t="str">
        <f t="shared" si="9"/>
        <v>NL-C50-ARC_Fire &amp; Acoustic Wall vs ELE_Electrical Equip.</v>
      </c>
    </row>
    <row r="204" spans="1:5" x14ac:dyDescent="0.25">
      <c r="A204" s="51">
        <v>0</v>
      </c>
      <c r="B204" s="51">
        <v>0</v>
      </c>
      <c r="C204" s="5" t="str">
        <f t="shared" si="8"/>
        <v>ARC_Fire &amp; Acoustic Wall</v>
      </c>
      <c r="D204" s="5" t="str">
        <v>ELE_Small Devices</v>
      </c>
      <c r="E204" s="5" t="str">
        <f t="shared" si="9"/>
        <v>NL-0-ARC_Fire &amp; Acoustic Wall vs ELE_Small Devices</v>
      </c>
    </row>
    <row r="205" spans="1:5" x14ac:dyDescent="0.25">
      <c r="A205" s="51" t="str">
        <v>T2</v>
      </c>
      <c r="B205" s="51" t="str">
        <v>C50</v>
      </c>
      <c r="C205" s="5" t="str">
        <f t="shared" si="8"/>
        <v>ARC_Fire &amp; Acoustic Wall</v>
      </c>
      <c r="D205" s="5" t="str">
        <v>ELE_Services Lighting Fixtures</v>
      </c>
      <c r="E205" s="5" t="str">
        <f t="shared" si="9"/>
        <v>NL-C50-ARC_Fire &amp; Acoustic Wall vs ELE_Services Lighting Fixtures</v>
      </c>
    </row>
    <row r="206" spans="1:5" x14ac:dyDescent="0.25">
      <c r="A206" s="51" t="str">
        <v>T2</v>
      </c>
      <c r="B206" s="51" t="str">
        <v>C50</v>
      </c>
      <c r="C206" s="5" t="str">
        <f t="shared" si="8"/>
        <v>ARC_Fire &amp; Acoustic Wall</v>
      </c>
      <c r="D206" s="5" t="str">
        <v>FIR_Fire Pipes</v>
      </c>
      <c r="E206" s="5" t="str">
        <f t="shared" si="9"/>
        <v>NL-C50-ARC_Fire &amp; Acoustic Wall vs FIR_Fire Pipes</v>
      </c>
    </row>
    <row r="207" spans="1:5" x14ac:dyDescent="0.25">
      <c r="A207" s="51">
        <v>0</v>
      </c>
      <c r="B207" s="51">
        <v>0</v>
      </c>
      <c r="C207" s="5" t="str">
        <f t="shared" si="8"/>
        <v>ARC_Fire &amp; Acoustic Wall</v>
      </c>
      <c r="D207" s="5" t="str">
        <v>FIR_Sprinklers Heads</v>
      </c>
      <c r="E207" s="5" t="str">
        <f t="shared" si="9"/>
        <v>NL-0-ARC_Fire &amp; Acoustic Wall vs FIR_Sprinklers Heads</v>
      </c>
    </row>
    <row r="208" spans="1:5" x14ac:dyDescent="0.25">
      <c r="A208" s="51">
        <v>0</v>
      </c>
      <c r="B208" s="51">
        <v>0</v>
      </c>
      <c r="C208" s="5" t="str">
        <f t="shared" si="8"/>
        <v>ARC_Fire &amp; Acoustic Wall</v>
      </c>
      <c r="D208" s="5" t="str">
        <v>FIR_Heat or Smoke Detectors</v>
      </c>
      <c r="E208" s="5" t="str">
        <f t="shared" si="9"/>
        <v>NL-0-ARC_Fire &amp; Acoustic Wall vs FIR_Heat or Smoke Detectors</v>
      </c>
    </row>
    <row r="209" spans="1:5" x14ac:dyDescent="0.25">
      <c r="A209" s="51" cm="1">
        <f t="array" ref="A209:A239">TRANSPOSE('Clash Matrix (Update to suit)'!I14:AM14)</f>
        <v>0</v>
      </c>
      <c r="B209" s="51" cm="1">
        <f t="array" ref="B209:B239">TRANSPOSE('Clash Matrix (Update to suit)'!I15:AM15)</f>
        <v>0</v>
      </c>
      <c r="C209" s="5" t="str">
        <f>'Item Categories'!C8</f>
        <v>ARC_Windows</v>
      </c>
      <c r="D209" s="5" t="str" cm="1">
        <f t="array" ref="D209:D239">TRANSPOSE('Clash Matrix (Update to suit)'!I1:AM1)</f>
        <v>ARC_Windows</v>
      </c>
      <c r="E209" s="5" t="str">
        <f t="shared" ref="E209:E240" si="10">"NL-"&amp;B209&amp; "-"&amp; C209&amp;" vs "&amp;D209</f>
        <v>NL-0-ARC_Windows vs ARC_Windows</v>
      </c>
    </row>
    <row r="210" spans="1:5" x14ac:dyDescent="0.25">
      <c r="A210" s="51">
        <v>0</v>
      </c>
      <c r="B210" s="51">
        <v>0</v>
      </c>
      <c r="C210" s="5" t="s">
        <v>111</v>
      </c>
      <c r="D210" s="5" t="str">
        <v>ARC_Services Walkway</v>
      </c>
      <c r="E210" s="5" t="str">
        <f t="shared" si="10"/>
        <v>NL-0-ARC_Windows vs ARC_Services Walkway</v>
      </c>
    </row>
    <row r="211" spans="1:5" x14ac:dyDescent="0.25">
      <c r="A211" s="51">
        <v>0</v>
      </c>
      <c r="B211" s="51">
        <v>0</v>
      </c>
      <c r="C211" s="5" t="s">
        <v>111</v>
      </c>
      <c r="D211" s="5" t="str">
        <v>ARC_Accessible Path</v>
      </c>
      <c r="E211" s="5" t="str">
        <f t="shared" si="10"/>
        <v>NL-0-ARC_Windows vs ARC_Accessible Path</v>
      </c>
    </row>
    <row r="212" spans="1:5" x14ac:dyDescent="0.25">
      <c r="A212" s="51">
        <v>0</v>
      </c>
      <c r="B212" s="51">
        <v>0</v>
      </c>
      <c r="C212" s="5" t="s">
        <v>111</v>
      </c>
      <c r="D212" s="5" t="str">
        <v>SRV_Access Panel</v>
      </c>
      <c r="E212" s="5" t="str">
        <f t="shared" si="10"/>
        <v>NL-0-ARC_Windows vs SRV_Access Panel</v>
      </c>
    </row>
    <row r="213" spans="1:5" x14ac:dyDescent="0.25">
      <c r="A213" s="51">
        <v>0</v>
      </c>
      <c r="B213" s="51">
        <v>0</v>
      </c>
      <c r="C213" s="5" t="s">
        <v>111</v>
      </c>
      <c r="D213" s="5" t="str">
        <v>ARC_Lighting Fixtures</v>
      </c>
      <c r="E213" s="5" t="str">
        <f t="shared" si="10"/>
        <v>NL-0-ARC_Windows vs ARC_Lighting Fixtures</v>
      </c>
    </row>
    <row r="214" spans="1:5" x14ac:dyDescent="0.25">
      <c r="A214" s="51">
        <v>0</v>
      </c>
      <c r="B214" s="51">
        <v>0</v>
      </c>
      <c r="C214" s="5" t="s">
        <v>111</v>
      </c>
      <c r="D214" s="5" t="str">
        <v>ARC_Plumbing Fixtures</v>
      </c>
      <c r="E214" s="5" t="str">
        <f t="shared" si="10"/>
        <v>NL-0-ARC_Windows vs ARC_Plumbing Fixtures</v>
      </c>
    </row>
    <row r="215" spans="1:5" x14ac:dyDescent="0.25">
      <c r="A215" s="51">
        <v>0</v>
      </c>
      <c r="B215" s="51">
        <v>0</v>
      </c>
      <c r="C215" s="5" t="s">
        <v>111</v>
      </c>
      <c r="D215" s="5" t="str">
        <v>ARC_SOG Floor Insulation</v>
      </c>
      <c r="E215" s="5" t="str">
        <f t="shared" si="10"/>
        <v>NL-0-ARC_Windows vs ARC_SOG Floor Insulation</v>
      </c>
    </row>
    <row r="216" spans="1:5" x14ac:dyDescent="0.25">
      <c r="A216" s="51">
        <v>0</v>
      </c>
      <c r="B216" s="51">
        <v>0</v>
      </c>
      <c r="C216" s="5" t="s">
        <v>111</v>
      </c>
      <c r="D216" s="5" t="str">
        <v>STR_Seismic Elements</v>
      </c>
      <c r="E216" s="5" t="str">
        <f t="shared" si="10"/>
        <v>NL-0-ARC_Windows vs STR_Seismic Elements</v>
      </c>
    </row>
    <row r="217" spans="1:5" x14ac:dyDescent="0.25">
      <c r="A217" s="51" t="str">
        <v>T2</v>
      </c>
      <c r="B217" s="51" t="str">
        <v>HC</v>
      </c>
      <c r="C217" s="5" t="s">
        <v>111</v>
      </c>
      <c r="D217" s="5" t="str">
        <v>STR_Conc work Excl Floor Slab</v>
      </c>
      <c r="E217" s="5" t="str">
        <f t="shared" si="10"/>
        <v>NL-HC-ARC_Windows vs STR_Conc work Excl Floor Slab</v>
      </c>
    </row>
    <row r="218" spans="1:5" x14ac:dyDescent="0.25">
      <c r="A218" s="51" t="str">
        <v>T2</v>
      </c>
      <c r="B218" s="51" t="str">
        <v>HC</v>
      </c>
      <c r="C218" s="5" t="s">
        <v>111</v>
      </c>
      <c r="D218" s="5" t="str">
        <v>STR_Steelwork (Bracing and Columns)</v>
      </c>
      <c r="E218" s="5" t="str">
        <f t="shared" si="10"/>
        <v>NL-HC-ARC_Windows vs STR_Steelwork (Bracing and Columns)</v>
      </c>
    </row>
    <row r="219" spans="1:5" x14ac:dyDescent="0.25">
      <c r="A219" s="51" t="str">
        <v>T2</v>
      </c>
      <c r="B219" s="51" t="str">
        <v>HC</v>
      </c>
      <c r="C219" s="5" t="s">
        <v>111</v>
      </c>
      <c r="D219" s="5" t="str">
        <v>STR Floor</v>
      </c>
      <c r="E219" s="5" t="str">
        <f t="shared" si="10"/>
        <v>NL-HC-ARC_Windows vs STR Floor</v>
      </c>
    </row>
    <row r="220" spans="1:5" x14ac:dyDescent="0.25">
      <c r="A220" s="51">
        <v>0</v>
      </c>
      <c r="B220" s="51">
        <v>0</v>
      </c>
      <c r="C220" s="5" t="s">
        <v>111</v>
      </c>
      <c r="D220" s="5" t="str">
        <v>HYD_Uninsulated Pipes and Acc</v>
      </c>
      <c r="E220" s="5" t="str">
        <f t="shared" si="10"/>
        <v>NL-0-ARC_Windows vs HYD_Uninsulated Pipes and Acc</v>
      </c>
    </row>
    <row r="221" spans="1:5" x14ac:dyDescent="0.25">
      <c r="A221" s="51">
        <v>0</v>
      </c>
      <c r="B221" s="51">
        <v>0</v>
      </c>
      <c r="C221" s="5" t="s">
        <v>111</v>
      </c>
      <c r="D221" s="5" t="str">
        <v>HYD_Pipe Insulation</v>
      </c>
      <c r="E221" s="5" t="str">
        <f t="shared" si="10"/>
        <v>NL-0-ARC_Windows vs HYD_Pipe Insulation</v>
      </c>
    </row>
    <row r="222" spans="1:5" x14ac:dyDescent="0.25">
      <c r="A222" s="51">
        <v>0</v>
      </c>
      <c r="B222" s="51">
        <v>0</v>
      </c>
      <c r="C222" s="5" t="s">
        <v>111</v>
      </c>
      <c r="D222" s="5" t="str">
        <v>HYD_Uninsulated Hot and Cold Pipes and Acc</v>
      </c>
      <c r="E222" s="5" t="str">
        <f t="shared" si="10"/>
        <v>NL-0-ARC_Windows vs HYD_Uninsulated Hot and Cold Pipes and Acc</v>
      </c>
    </row>
    <row r="223" spans="1:5" x14ac:dyDescent="0.25">
      <c r="A223" s="51">
        <v>0</v>
      </c>
      <c r="B223" s="51">
        <v>0</v>
      </c>
      <c r="C223" s="5" t="s">
        <v>111</v>
      </c>
      <c r="D223" s="5" t="str">
        <v>HYD_Hot and Cold Insulation</v>
      </c>
      <c r="E223" s="5" t="str">
        <f t="shared" si="10"/>
        <v>NL-0-ARC_Windows vs HYD_Hot and Cold Insulation</v>
      </c>
    </row>
    <row r="224" spans="1:5" x14ac:dyDescent="0.25">
      <c r="A224" s="51">
        <v>0</v>
      </c>
      <c r="B224" s="51">
        <v>0</v>
      </c>
      <c r="C224" s="5" t="s">
        <v>111</v>
      </c>
      <c r="D224" s="5" t="str">
        <v>HYD_Plumbing Fixture</v>
      </c>
      <c r="E224" s="5" t="str">
        <f t="shared" si="10"/>
        <v>NL-0-ARC_Windows vs HYD_Plumbing Fixture</v>
      </c>
    </row>
    <row r="225" spans="1:5" x14ac:dyDescent="0.25">
      <c r="A225" s="51">
        <v>0</v>
      </c>
      <c r="B225" s="51">
        <v>0</v>
      </c>
      <c r="C225" s="5" t="s">
        <v>111</v>
      </c>
      <c r="D225" s="5" t="str">
        <v>MEC_Air Terminals</v>
      </c>
      <c r="E225" s="5" t="str">
        <f t="shared" si="10"/>
        <v>NL-0-ARC_Windows vs MEC_Air Terminals</v>
      </c>
    </row>
    <row r="226" spans="1:5" x14ac:dyDescent="0.25">
      <c r="A226" s="51">
        <v>0</v>
      </c>
      <c r="B226" s="51">
        <v>0</v>
      </c>
      <c r="C226" s="5" t="s">
        <v>111</v>
      </c>
      <c r="D226" s="5" t="str">
        <v>MEC_Uninsulated Duct and Acc</v>
      </c>
      <c r="E226" s="5" t="str">
        <f t="shared" si="10"/>
        <v>NL-0-ARC_Windows vs MEC_Uninsulated Duct and Acc</v>
      </c>
    </row>
    <row r="227" spans="1:5" x14ac:dyDescent="0.25">
      <c r="A227" s="51">
        <v>0</v>
      </c>
      <c r="B227" s="51">
        <v>0</v>
      </c>
      <c r="C227" s="5" t="s">
        <v>111</v>
      </c>
      <c r="D227" s="5" t="str">
        <v>MEC_Duct Insulation</v>
      </c>
      <c r="E227" s="5" t="str">
        <f t="shared" si="10"/>
        <v>NL-0-ARC_Windows vs MEC_Duct Insulation</v>
      </c>
    </row>
    <row r="228" spans="1:5" x14ac:dyDescent="0.25">
      <c r="A228" s="51">
        <v>0</v>
      </c>
      <c r="B228" s="51">
        <v>0</v>
      </c>
      <c r="C228" s="5" t="s">
        <v>111</v>
      </c>
      <c r="D228" s="5" t="str">
        <v>MEC_Pipe Insulation</v>
      </c>
      <c r="E228" s="5" t="str">
        <f t="shared" si="10"/>
        <v>NL-0-ARC_Windows vs MEC_Pipe Insulation</v>
      </c>
    </row>
    <row r="229" spans="1:5" x14ac:dyDescent="0.25">
      <c r="A229" s="51">
        <v>0</v>
      </c>
      <c r="B229" s="51">
        <v>0</v>
      </c>
      <c r="C229" s="5" t="s">
        <v>111</v>
      </c>
      <c r="D229" s="5" t="str">
        <v>MEC_Uninsulated Pipes and Acc</v>
      </c>
      <c r="E229" s="5" t="str">
        <f t="shared" si="10"/>
        <v>NL-0-ARC_Windows vs MEC_Uninsulated Pipes and Acc</v>
      </c>
    </row>
    <row r="230" spans="1:5" x14ac:dyDescent="0.25">
      <c r="A230" s="51">
        <v>0</v>
      </c>
      <c r="B230" s="51">
        <v>0</v>
      </c>
      <c r="C230" s="5" t="s">
        <v>111</v>
      </c>
      <c r="D230" s="5" t="str">
        <v>MEC_Uninulated Flexi duct</v>
      </c>
      <c r="E230" s="5" t="str">
        <f t="shared" si="10"/>
        <v>NL-0-ARC_Windows vs MEC_Uninulated Flexi duct</v>
      </c>
    </row>
    <row r="231" spans="1:5" x14ac:dyDescent="0.25">
      <c r="A231" s="51">
        <v>0</v>
      </c>
      <c r="B231" s="51">
        <v>0</v>
      </c>
      <c r="C231" s="5" t="s">
        <v>111</v>
      </c>
      <c r="D231" s="5" t="str">
        <v>MEC_Equipment</v>
      </c>
      <c r="E231" s="5" t="str">
        <f t="shared" si="10"/>
        <v>NL-0-ARC_Windows vs MEC_Equipment</v>
      </c>
    </row>
    <row r="232" spans="1:5" x14ac:dyDescent="0.25">
      <c r="A232" s="51">
        <v>0</v>
      </c>
      <c r="B232" s="51">
        <v>0</v>
      </c>
      <c r="C232" s="5" t="s">
        <v>111</v>
      </c>
      <c r="D232" s="5" t="str">
        <v>ELE_Cable Tray and Fittings</v>
      </c>
      <c r="E232" s="5" t="str">
        <f t="shared" si="10"/>
        <v>NL-0-ARC_Windows vs ELE_Cable Tray and Fittings</v>
      </c>
    </row>
    <row r="233" spans="1:5" x14ac:dyDescent="0.25">
      <c r="A233" s="51">
        <v>0</v>
      </c>
      <c r="B233" s="51">
        <v>0</v>
      </c>
      <c r="C233" s="5" t="s">
        <v>111</v>
      </c>
      <c r="D233" s="5" t="str">
        <v>ELE_Conduit*</v>
      </c>
      <c r="E233" s="5" t="str">
        <f t="shared" si="10"/>
        <v>NL-0-ARC_Windows vs ELE_Conduit*</v>
      </c>
    </row>
    <row r="234" spans="1:5" x14ac:dyDescent="0.25">
      <c r="A234" s="51">
        <v>0</v>
      </c>
      <c r="B234" s="51">
        <v>0</v>
      </c>
      <c r="C234" s="5" t="s">
        <v>111</v>
      </c>
      <c r="D234" s="5" t="str">
        <v>ELE_Electrical Equip.</v>
      </c>
      <c r="E234" s="5" t="str">
        <f t="shared" si="10"/>
        <v>NL-0-ARC_Windows vs ELE_Electrical Equip.</v>
      </c>
    </row>
    <row r="235" spans="1:5" x14ac:dyDescent="0.25">
      <c r="A235" s="51">
        <v>0</v>
      </c>
      <c r="B235" s="51">
        <v>0</v>
      </c>
      <c r="C235" s="5" t="s">
        <v>111</v>
      </c>
      <c r="D235" s="5" t="str">
        <v>ELE_Small Devices</v>
      </c>
      <c r="E235" s="5" t="str">
        <f t="shared" si="10"/>
        <v>NL-0-ARC_Windows vs ELE_Small Devices</v>
      </c>
    </row>
    <row r="236" spans="1:5" x14ac:dyDescent="0.25">
      <c r="A236" s="51">
        <v>0</v>
      </c>
      <c r="B236" s="51">
        <v>0</v>
      </c>
      <c r="C236" s="5" t="s">
        <v>111</v>
      </c>
      <c r="D236" s="5" t="str">
        <v>ELE_Services Lighting Fixtures</v>
      </c>
      <c r="E236" s="5" t="str">
        <f t="shared" si="10"/>
        <v>NL-0-ARC_Windows vs ELE_Services Lighting Fixtures</v>
      </c>
    </row>
    <row r="237" spans="1:5" x14ac:dyDescent="0.25">
      <c r="A237" s="51">
        <v>0</v>
      </c>
      <c r="B237" s="51">
        <v>0</v>
      </c>
      <c r="C237" s="5" t="s">
        <v>111</v>
      </c>
      <c r="D237" s="5" t="str">
        <v>FIR_Fire Pipes</v>
      </c>
      <c r="E237" s="5" t="str">
        <f t="shared" si="10"/>
        <v>NL-0-ARC_Windows vs FIR_Fire Pipes</v>
      </c>
    </row>
    <row r="238" spans="1:5" x14ac:dyDescent="0.25">
      <c r="A238" s="51">
        <v>0</v>
      </c>
      <c r="B238" s="51">
        <v>0</v>
      </c>
      <c r="C238" s="5" t="s">
        <v>111</v>
      </c>
      <c r="D238" s="5" t="str">
        <v>FIR_Sprinklers Heads</v>
      </c>
      <c r="E238" s="5" t="str">
        <f t="shared" si="10"/>
        <v>NL-0-ARC_Windows vs FIR_Sprinklers Heads</v>
      </c>
    </row>
    <row r="239" spans="1:5" x14ac:dyDescent="0.25">
      <c r="A239" s="51">
        <v>0</v>
      </c>
      <c r="B239" s="51">
        <v>0</v>
      </c>
      <c r="C239" s="5" t="s">
        <v>111</v>
      </c>
      <c r="D239" s="5" t="str">
        <v>FIR_Heat or Smoke Detectors</v>
      </c>
      <c r="E239" s="5" t="str">
        <f t="shared" si="10"/>
        <v>NL-0-ARC_Windows vs FIR_Heat or Smoke Detectors</v>
      </c>
    </row>
    <row r="240" spans="1:5" x14ac:dyDescent="0.25">
      <c r="A240" s="51" cm="1">
        <f t="array" ref="A240:A269">TRANSPOSE('Clash Matrix (Update to suit)'!J16:AM16)</f>
        <v>0</v>
      </c>
      <c r="B240" s="51" cm="1">
        <f t="array" ref="B240:B269">TRANSPOSE('Clash Matrix (Update to suit)'!J17:AM17)</f>
        <v>0</v>
      </c>
      <c r="C240" s="5" t="str">
        <f>'Item Categories'!C9</f>
        <v>ARC_Services Walkway</v>
      </c>
      <c r="D240" s="5" t="str" cm="1">
        <f t="array" ref="D240:D269">TRANSPOSE('Clash Matrix (Update to suit)'!J1:AM1)</f>
        <v>ARC_Services Walkway</v>
      </c>
      <c r="E240" s="5" t="str">
        <f t="shared" si="10"/>
        <v>NL-0-ARC_Services Walkway vs ARC_Services Walkway</v>
      </c>
    </row>
    <row r="241" spans="1:5" x14ac:dyDescent="0.25">
      <c r="A241" s="51">
        <v>0</v>
      </c>
      <c r="B241" s="51">
        <v>0</v>
      </c>
      <c r="C241" s="5" t="s">
        <v>112</v>
      </c>
      <c r="D241" s="5" t="str">
        <v>ARC_Accessible Path</v>
      </c>
      <c r="E241" s="5" t="str">
        <f t="shared" ref="E241:E265" si="11">"NL-"&amp;B241&amp; "-"&amp; C241&amp;" vs "&amp;D241</f>
        <v>NL-0-ARC_Services Walkway vs ARC_Accessible Path</v>
      </c>
    </row>
    <row r="242" spans="1:5" x14ac:dyDescent="0.25">
      <c r="A242" s="51" t="str">
        <v>T3</v>
      </c>
      <c r="B242" s="51" t="str">
        <v>HC</v>
      </c>
      <c r="C242" s="5" t="s">
        <v>112</v>
      </c>
      <c r="D242" s="5" t="str">
        <v>SRV_Access Panel</v>
      </c>
      <c r="E242" s="5" t="str">
        <f t="shared" si="11"/>
        <v>NL-HC-ARC_Services Walkway vs SRV_Access Panel</v>
      </c>
    </row>
    <row r="243" spans="1:5" x14ac:dyDescent="0.25">
      <c r="A243" s="51">
        <v>0</v>
      </c>
      <c r="B243" s="51">
        <v>0</v>
      </c>
      <c r="C243" s="5" t="s">
        <v>112</v>
      </c>
      <c r="D243" s="5" t="str">
        <v>ARC_Lighting Fixtures</v>
      </c>
      <c r="E243" s="5" t="str">
        <f t="shared" si="11"/>
        <v>NL-0-ARC_Services Walkway vs ARC_Lighting Fixtures</v>
      </c>
    </row>
    <row r="244" spans="1:5" x14ac:dyDescent="0.25">
      <c r="A244" s="51" t="str">
        <v>T3</v>
      </c>
      <c r="B244" s="51" t="str">
        <v>HC</v>
      </c>
      <c r="C244" s="5" t="s">
        <v>112</v>
      </c>
      <c r="D244" s="5" t="str">
        <v>ARC_Plumbing Fixtures</v>
      </c>
      <c r="E244" s="5" t="str">
        <f t="shared" si="11"/>
        <v>NL-HC-ARC_Services Walkway vs ARC_Plumbing Fixtures</v>
      </c>
    </row>
    <row r="245" spans="1:5" x14ac:dyDescent="0.25">
      <c r="A245" s="51" t="str">
        <v>T3</v>
      </c>
      <c r="B245" s="51" t="str">
        <v>HC</v>
      </c>
      <c r="C245" s="5" t="s">
        <v>112</v>
      </c>
      <c r="D245" s="5" t="str">
        <v>ARC_SOG Floor Insulation</v>
      </c>
      <c r="E245" s="5" t="str">
        <f t="shared" si="11"/>
        <v>NL-HC-ARC_Services Walkway vs ARC_SOG Floor Insulation</v>
      </c>
    </row>
    <row r="246" spans="1:5" x14ac:dyDescent="0.25">
      <c r="A246" s="51" t="str">
        <v>T3</v>
      </c>
      <c r="B246" s="51" t="str">
        <v>HC</v>
      </c>
      <c r="C246" s="5" t="s">
        <v>112</v>
      </c>
      <c r="D246" s="5" t="str">
        <v>STR_Seismic Elements</v>
      </c>
      <c r="E246" s="5" t="str">
        <f t="shared" si="11"/>
        <v>NL-HC-ARC_Services Walkway vs STR_Seismic Elements</v>
      </c>
    </row>
    <row r="247" spans="1:5" x14ac:dyDescent="0.25">
      <c r="A247" s="51" t="str">
        <v>T3</v>
      </c>
      <c r="B247" s="51" t="str">
        <v>HC</v>
      </c>
      <c r="C247" s="5" t="s">
        <v>112</v>
      </c>
      <c r="D247" s="5" t="str">
        <v>STR_Conc work Excl Floor Slab</v>
      </c>
      <c r="E247" s="5" t="str">
        <f t="shared" si="11"/>
        <v>NL-HC-ARC_Services Walkway vs STR_Conc work Excl Floor Slab</v>
      </c>
    </row>
    <row r="248" spans="1:5" x14ac:dyDescent="0.25">
      <c r="A248" s="51" t="str">
        <v>T3</v>
      </c>
      <c r="B248" s="51" t="str">
        <v>HC</v>
      </c>
      <c r="C248" s="5" t="s">
        <v>112</v>
      </c>
      <c r="D248" s="5" t="str">
        <v>STR_Steelwork (Bracing and Columns)</v>
      </c>
      <c r="E248" s="5" t="str">
        <f t="shared" si="11"/>
        <v>NL-HC-ARC_Services Walkway vs STR_Steelwork (Bracing and Columns)</v>
      </c>
    </row>
    <row r="249" spans="1:5" x14ac:dyDescent="0.25">
      <c r="A249" s="51" t="str">
        <v>T3</v>
      </c>
      <c r="B249" s="51" t="str">
        <v>HC</v>
      </c>
      <c r="C249" s="5" t="s">
        <v>112</v>
      </c>
      <c r="D249" s="5" t="str">
        <v>STR Floor</v>
      </c>
      <c r="E249" s="5" t="str">
        <f t="shared" si="11"/>
        <v>NL-HC-ARC_Services Walkway vs STR Floor</v>
      </c>
    </row>
    <row r="250" spans="1:5" x14ac:dyDescent="0.25">
      <c r="A250" s="51" t="str">
        <v>T3</v>
      </c>
      <c r="B250" s="51" t="str">
        <v>HC</v>
      </c>
      <c r="C250" s="5" t="s">
        <v>112</v>
      </c>
      <c r="D250" s="5" t="str">
        <v>HYD_Uninsulated Pipes and Acc</v>
      </c>
      <c r="E250" s="5" t="str">
        <f t="shared" si="11"/>
        <v>NL-HC-ARC_Services Walkway vs HYD_Uninsulated Pipes and Acc</v>
      </c>
    </row>
    <row r="251" spans="1:5" x14ac:dyDescent="0.25">
      <c r="A251" s="51" t="str">
        <v>T3</v>
      </c>
      <c r="B251" s="51" t="str">
        <v>HC</v>
      </c>
      <c r="C251" s="5" t="s">
        <v>112</v>
      </c>
      <c r="D251" s="5" t="str">
        <v>HYD_Pipe Insulation</v>
      </c>
      <c r="E251" s="5" t="str">
        <f t="shared" si="11"/>
        <v>NL-HC-ARC_Services Walkway vs HYD_Pipe Insulation</v>
      </c>
    </row>
    <row r="252" spans="1:5" x14ac:dyDescent="0.25">
      <c r="A252" s="51" t="str">
        <v>T3</v>
      </c>
      <c r="B252" s="51" t="str">
        <v>HC</v>
      </c>
      <c r="C252" s="5" t="s">
        <v>112</v>
      </c>
      <c r="D252" s="5" t="str">
        <v>HYD_Uninsulated Hot and Cold Pipes and Acc</v>
      </c>
      <c r="E252" s="5" t="str">
        <f t="shared" si="11"/>
        <v>NL-HC-ARC_Services Walkway vs HYD_Uninsulated Hot and Cold Pipes and Acc</v>
      </c>
    </row>
    <row r="253" spans="1:5" x14ac:dyDescent="0.25">
      <c r="A253" s="51" t="str">
        <v>T3</v>
      </c>
      <c r="B253" s="51" t="str">
        <v>HC</v>
      </c>
      <c r="C253" s="5" t="s">
        <v>112</v>
      </c>
      <c r="D253" s="5" t="str">
        <v>HYD_Hot and Cold Insulation</v>
      </c>
      <c r="E253" s="5" t="str">
        <f t="shared" si="11"/>
        <v>NL-HC-ARC_Services Walkway vs HYD_Hot and Cold Insulation</v>
      </c>
    </row>
    <row r="254" spans="1:5" x14ac:dyDescent="0.25">
      <c r="A254" s="51" t="str">
        <v>T3</v>
      </c>
      <c r="B254" s="51" t="str">
        <v>HC</v>
      </c>
      <c r="C254" s="5" t="s">
        <v>112</v>
      </c>
      <c r="D254" s="5" t="str">
        <v>HYD_Plumbing Fixture</v>
      </c>
      <c r="E254" s="5" t="str">
        <f t="shared" si="11"/>
        <v>NL-HC-ARC_Services Walkway vs HYD_Plumbing Fixture</v>
      </c>
    </row>
    <row r="255" spans="1:5" x14ac:dyDescent="0.25">
      <c r="A255" s="51" t="str">
        <v>T3</v>
      </c>
      <c r="B255" s="51" t="str">
        <v>HC</v>
      </c>
      <c r="C255" s="5" t="s">
        <v>112</v>
      </c>
      <c r="D255" s="5" t="str">
        <v>MEC_Air Terminals</v>
      </c>
      <c r="E255" s="5" t="str">
        <f t="shared" si="11"/>
        <v>NL-HC-ARC_Services Walkway vs MEC_Air Terminals</v>
      </c>
    </row>
    <row r="256" spans="1:5" x14ac:dyDescent="0.25">
      <c r="A256" s="51" t="str">
        <v>T3</v>
      </c>
      <c r="B256" s="51" t="str">
        <v>HC</v>
      </c>
      <c r="C256" s="5" t="s">
        <v>112</v>
      </c>
      <c r="D256" s="5" t="str">
        <v>MEC_Uninsulated Duct and Acc</v>
      </c>
      <c r="E256" s="5" t="str">
        <f t="shared" si="11"/>
        <v>NL-HC-ARC_Services Walkway vs MEC_Uninsulated Duct and Acc</v>
      </c>
    </row>
    <row r="257" spans="1:5" x14ac:dyDescent="0.25">
      <c r="A257" s="51" t="str">
        <v>T3</v>
      </c>
      <c r="B257" s="51" t="str">
        <v>HC</v>
      </c>
      <c r="C257" s="5" t="s">
        <v>112</v>
      </c>
      <c r="D257" s="5" t="str">
        <v>MEC_Duct Insulation</v>
      </c>
      <c r="E257" s="5" t="str">
        <f t="shared" si="11"/>
        <v>NL-HC-ARC_Services Walkway vs MEC_Duct Insulation</v>
      </c>
    </row>
    <row r="258" spans="1:5" x14ac:dyDescent="0.25">
      <c r="A258" s="51" t="str">
        <v>T3</v>
      </c>
      <c r="B258" s="51" t="str">
        <v>HC</v>
      </c>
      <c r="C258" s="5" t="s">
        <v>112</v>
      </c>
      <c r="D258" s="5" t="str">
        <v>MEC_Pipe Insulation</v>
      </c>
      <c r="E258" s="5" t="str">
        <f t="shared" si="11"/>
        <v>NL-HC-ARC_Services Walkway vs MEC_Pipe Insulation</v>
      </c>
    </row>
    <row r="259" spans="1:5" x14ac:dyDescent="0.25">
      <c r="A259" s="51" t="str">
        <v>T3</v>
      </c>
      <c r="B259" s="51" t="str">
        <v>HC</v>
      </c>
      <c r="C259" s="5" t="s">
        <v>112</v>
      </c>
      <c r="D259" s="5" t="str">
        <v>MEC_Uninsulated Pipes and Acc</v>
      </c>
      <c r="E259" s="5" t="str">
        <f t="shared" si="11"/>
        <v>NL-HC-ARC_Services Walkway vs MEC_Uninsulated Pipes and Acc</v>
      </c>
    </row>
    <row r="260" spans="1:5" x14ac:dyDescent="0.25">
      <c r="A260" s="51" t="str">
        <v>T3</v>
      </c>
      <c r="B260" s="51" t="str">
        <v>HC</v>
      </c>
      <c r="C260" s="5" t="s">
        <v>112</v>
      </c>
      <c r="D260" s="5" t="str">
        <v>MEC_Uninulated Flexi duct</v>
      </c>
      <c r="E260" s="5" t="str">
        <f t="shared" si="11"/>
        <v>NL-HC-ARC_Services Walkway vs MEC_Uninulated Flexi duct</v>
      </c>
    </row>
    <row r="261" spans="1:5" x14ac:dyDescent="0.25">
      <c r="A261" s="51" t="str">
        <v>T3</v>
      </c>
      <c r="B261" s="51" t="str">
        <v>HC</v>
      </c>
      <c r="C261" s="5" t="s">
        <v>112</v>
      </c>
      <c r="D261" s="5" t="str">
        <v>MEC_Equipment</v>
      </c>
      <c r="E261" s="5" t="str">
        <f t="shared" si="11"/>
        <v>NL-HC-ARC_Services Walkway vs MEC_Equipment</v>
      </c>
    </row>
    <row r="262" spans="1:5" x14ac:dyDescent="0.25">
      <c r="A262" s="51" t="str">
        <v>T3</v>
      </c>
      <c r="B262" s="51" t="str">
        <v>HC</v>
      </c>
      <c r="C262" s="5" t="s">
        <v>112</v>
      </c>
      <c r="D262" s="5" t="str">
        <v>ELE_Cable Tray and Fittings</v>
      </c>
      <c r="E262" s="5" t="str">
        <f t="shared" si="11"/>
        <v>NL-HC-ARC_Services Walkway vs ELE_Cable Tray and Fittings</v>
      </c>
    </row>
    <row r="263" spans="1:5" x14ac:dyDescent="0.25">
      <c r="A263" s="51" t="str">
        <v>T3</v>
      </c>
      <c r="B263" s="51" t="str">
        <v>HC</v>
      </c>
      <c r="C263" s="5" t="s">
        <v>112</v>
      </c>
      <c r="D263" s="5" t="str">
        <v>ELE_Conduit*</v>
      </c>
      <c r="E263" s="5" t="str">
        <f t="shared" si="11"/>
        <v>NL-HC-ARC_Services Walkway vs ELE_Conduit*</v>
      </c>
    </row>
    <row r="264" spans="1:5" x14ac:dyDescent="0.25">
      <c r="A264" s="51" t="str">
        <v>T3</v>
      </c>
      <c r="B264" s="51" t="str">
        <v>HC</v>
      </c>
      <c r="C264" s="5" t="s">
        <v>112</v>
      </c>
      <c r="D264" s="5" t="str">
        <v>ELE_Electrical Equip.</v>
      </c>
      <c r="E264" s="5" t="str">
        <f t="shared" si="11"/>
        <v>NL-HC-ARC_Services Walkway vs ELE_Electrical Equip.</v>
      </c>
    </row>
    <row r="265" spans="1:5" x14ac:dyDescent="0.25">
      <c r="A265" s="51" t="str">
        <v>T3</v>
      </c>
      <c r="B265" s="51" t="str">
        <v>HC</v>
      </c>
      <c r="C265" s="5" t="s">
        <v>112</v>
      </c>
      <c r="D265" s="5" t="str">
        <v>ELE_Small Devices</v>
      </c>
      <c r="E265" s="5" t="str">
        <f t="shared" si="11"/>
        <v>NL-HC-ARC_Services Walkway vs ELE_Small Devices</v>
      </c>
    </row>
    <row r="266" spans="1:5" x14ac:dyDescent="0.25">
      <c r="A266" s="51" t="str">
        <v>T3</v>
      </c>
      <c r="B266" s="51" t="str">
        <v>HC</v>
      </c>
      <c r="C266" s="5" t="s">
        <v>112</v>
      </c>
      <c r="D266" s="5" t="str">
        <v>ELE_Services Lighting Fixtures</v>
      </c>
      <c r="E266" s="5" t="str">
        <f t="shared" ref="E266:E269" si="12">"NL-"&amp;B266&amp; "-"&amp; C266&amp;" vs "&amp;D266</f>
        <v>NL-HC-ARC_Services Walkway vs ELE_Services Lighting Fixtures</v>
      </c>
    </row>
    <row r="267" spans="1:5" x14ac:dyDescent="0.25">
      <c r="A267" s="51" t="str">
        <v>T3</v>
      </c>
      <c r="B267" s="51" t="str">
        <v>HC</v>
      </c>
      <c r="C267" s="5" t="s">
        <v>112</v>
      </c>
      <c r="D267" s="5" t="str">
        <v>FIR_Fire Pipes</v>
      </c>
      <c r="E267" s="5" t="str">
        <f t="shared" si="12"/>
        <v>NL-HC-ARC_Services Walkway vs FIR_Fire Pipes</v>
      </c>
    </row>
    <row r="268" spans="1:5" x14ac:dyDescent="0.25">
      <c r="A268" s="51" t="str">
        <v>T3</v>
      </c>
      <c r="B268" s="51" t="str">
        <v>HC</v>
      </c>
      <c r="C268" s="5" t="s">
        <v>112</v>
      </c>
      <c r="D268" s="5" t="str">
        <v>FIR_Sprinklers Heads</v>
      </c>
      <c r="E268" s="5" t="str">
        <f t="shared" si="12"/>
        <v>NL-HC-ARC_Services Walkway vs FIR_Sprinklers Heads</v>
      </c>
    </row>
    <row r="269" spans="1:5" x14ac:dyDescent="0.25">
      <c r="A269" s="51" t="str">
        <v>T3</v>
      </c>
      <c r="B269" s="51" t="str">
        <v>HC</v>
      </c>
      <c r="C269" s="5" t="s">
        <v>112</v>
      </c>
      <c r="D269" s="5" t="str">
        <v>FIR_Heat or Smoke Detectors</v>
      </c>
      <c r="E269" s="5" t="str">
        <f t="shared" si="12"/>
        <v>NL-HC-ARC_Services Walkway vs FIR_Heat or Smoke Detectors</v>
      </c>
    </row>
    <row r="270" spans="1:5" x14ac:dyDescent="0.25">
      <c r="A270" s="51" cm="1">
        <f t="array" ref="A270:A298">TRANSPOSE('Clash Matrix (Update to suit)'!K18:AM18)</f>
        <v>0</v>
      </c>
      <c r="B270" s="51" cm="1">
        <f t="array" ref="B270:B298">TRANSPOSE('Clash Matrix (Update to suit)'!K19:AM19)</f>
        <v>0</v>
      </c>
      <c r="C270" s="5" t="s">
        <v>113</v>
      </c>
      <c r="D270" s="5" t="str" cm="1">
        <f t="array" ref="D270:D298">TRANSPOSE('Clash Matrix (Update to suit)'!K1:AM1)</f>
        <v>ARC_Accessible Path</v>
      </c>
      <c r="E270" s="5" t="str">
        <f t="shared" ref="E270:E301" si="13">"NL-"&amp;B270&amp; "-"&amp; C270&amp;" vs "&amp;D270</f>
        <v>NL-0-ARC_Accessible Path vs ARC_Accessible Path</v>
      </c>
    </row>
    <row r="271" spans="1:5" x14ac:dyDescent="0.25">
      <c r="A271" s="51">
        <v>0</v>
      </c>
      <c r="B271" s="51">
        <v>0</v>
      </c>
      <c r="C271" s="5" t="s">
        <v>113</v>
      </c>
      <c r="D271" s="5" t="str">
        <v>SRV_Access Panel</v>
      </c>
      <c r="E271" s="5" t="str">
        <f t="shared" si="13"/>
        <v>NL-0-ARC_Accessible Path vs SRV_Access Panel</v>
      </c>
    </row>
    <row r="272" spans="1:5" x14ac:dyDescent="0.25">
      <c r="A272" s="51">
        <v>0</v>
      </c>
      <c r="B272" s="51">
        <v>0</v>
      </c>
      <c r="C272" s="5" t="s">
        <v>113</v>
      </c>
      <c r="D272" s="5" t="str">
        <v>ARC_Lighting Fixtures</v>
      </c>
      <c r="E272" s="5" t="str">
        <f t="shared" si="13"/>
        <v>NL-0-ARC_Accessible Path vs ARC_Lighting Fixtures</v>
      </c>
    </row>
    <row r="273" spans="1:5" x14ac:dyDescent="0.25">
      <c r="A273" s="51">
        <v>0</v>
      </c>
      <c r="B273" s="51">
        <v>0</v>
      </c>
      <c r="C273" s="5" t="s">
        <v>113</v>
      </c>
      <c r="D273" s="5" t="str">
        <v>ARC_Plumbing Fixtures</v>
      </c>
      <c r="E273" s="5" t="str">
        <f t="shared" si="13"/>
        <v>NL-0-ARC_Accessible Path vs ARC_Plumbing Fixtures</v>
      </c>
    </row>
    <row r="274" spans="1:5" x14ac:dyDescent="0.25">
      <c r="A274" s="51">
        <v>0</v>
      </c>
      <c r="B274" s="51">
        <v>0</v>
      </c>
      <c r="C274" s="5" t="s">
        <v>113</v>
      </c>
      <c r="D274" s="5" t="str">
        <v>ARC_SOG Floor Insulation</v>
      </c>
      <c r="E274" s="5" t="str">
        <f t="shared" si="13"/>
        <v>NL-0-ARC_Accessible Path vs ARC_SOG Floor Insulation</v>
      </c>
    </row>
    <row r="275" spans="1:5" x14ac:dyDescent="0.25">
      <c r="A275" s="51">
        <v>0</v>
      </c>
      <c r="B275" s="51">
        <v>0</v>
      </c>
      <c r="C275" s="5" t="s">
        <v>113</v>
      </c>
      <c r="D275" s="5" t="str">
        <v>STR_Seismic Elements</v>
      </c>
      <c r="E275" s="5" t="str">
        <f t="shared" si="13"/>
        <v>NL-0-ARC_Accessible Path vs STR_Seismic Elements</v>
      </c>
    </row>
    <row r="276" spans="1:5" x14ac:dyDescent="0.25">
      <c r="A276" s="51">
        <v>0</v>
      </c>
      <c r="B276" s="51">
        <v>0</v>
      </c>
      <c r="C276" s="5" t="s">
        <v>113</v>
      </c>
      <c r="D276" s="5" t="str">
        <v>STR_Conc work Excl Floor Slab</v>
      </c>
      <c r="E276" s="5" t="str">
        <f t="shared" si="13"/>
        <v>NL-0-ARC_Accessible Path vs STR_Conc work Excl Floor Slab</v>
      </c>
    </row>
    <row r="277" spans="1:5" x14ac:dyDescent="0.25">
      <c r="A277" s="51">
        <v>0</v>
      </c>
      <c r="B277" s="51">
        <v>0</v>
      </c>
      <c r="C277" s="5" t="s">
        <v>113</v>
      </c>
      <c r="D277" s="5" t="str">
        <v>STR_Steelwork (Bracing and Columns)</v>
      </c>
      <c r="E277" s="5" t="str">
        <f t="shared" si="13"/>
        <v>NL-0-ARC_Accessible Path vs STR_Steelwork (Bracing and Columns)</v>
      </c>
    </row>
    <row r="278" spans="1:5" x14ac:dyDescent="0.25">
      <c r="A278" s="51">
        <v>0</v>
      </c>
      <c r="B278" s="51">
        <v>0</v>
      </c>
      <c r="C278" s="5" t="s">
        <v>113</v>
      </c>
      <c r="D278" s="5" t="str">
        <v>STR Floor</v>
      </c>
      <c r="E278" s="5" t="str">
        <f t="shared" si="13"/>
        <v>NL-0-ARC_Accessible Path vs STR Floor</v>
      </c>
    </row>
    <row r="279" spans="1:5" x14ac:dyDescent="0.25">
      <c r="A279" s="51">
        <v>0</v>
      </c>
      <c r="B279" s="51">
        <v>0</v>
      </c>
      <c r="C279" s="5" t="s">
        <v>113</v>
      </c>
      <c r="D279" s="5" t="str">
        <v>HYD_Uninsulated Pipes and Acc</v>
      </c>
      <c r="E279" s="5" t="str">
        <f t="shared" si="13"/>
        <v>NL-0-ARC_Accessible Path vs HYD_Uninsulated Pipes and Acc</v>
      </c>
    </row>
    <row r="280" spans="1:5" x14ac:dyDescent="0.25">
      <c r="A280" s="51">
        <v>0</v>
      </c>
      <c r="B280" s="51">
        <v>0</v>
      </c>
      <c r="C280" s="5" t="s">
        <v>113</v>
      </c>
      <c r="D280" s="5" t="str">
        <v>HYD_Pipe Insulation</v>
      </c>
      <c r="E280" s="5" t="str">
        <f t="shared" si="13"/>
        <v>NL-0-ARC_Accessible Path vs HYD_Pipe Insulation</v>
      </c>
    </row>
    <row r="281" spans="1:5" x14ac:dyDescent="0.25">
      <c r="A281" s="51">
        <v>0</v>
      </c>
      <c r="B281" s="51">
        <v>0</v>
      </c>
      <c r="C281" s="5" t="s">
        <v>113</v>
      </c>
      <c r="D281" s="5" t="str">
        <v>HYD_Uninsulated Hot and Cold Pipes and Acc</v>
      </c>
      <c r="E281" s="5" t="str">
        <f t="shared" si="13"/>
        <v>NL-0-ARC_Accessible Path vs HYD_Uninsulated Hot and Cold Pipes and Acc</v>
      </c>
    </row>
    <row r="282" spans="1:5" x14ac:dyDescent="0.25">
      <c r="A282" s="51">
        <v>0</v>
      </c>
      <c r="B282" s="51">
        <v>0</v>
      </c>
      <c r="C282" s="5" t="s">
        <v>113</v>
      </c>
      <c r="D282" s="5" t="str">
        <v>HYD_Hot and Cold Insulation</v>
      </c>
      <c r="E282" s="5" t="str">
        <f t="shared" si="13"/>
        <v>NL-0-ARC_Accessible Path vs HYD_Hot and Cold Insulation</v>
      </c>
    </row>
    <row r="283" spans="1:5" x14ac:dyDescent="0.25">
      <c r="A283" s="51">
        <v>0</v>
      </c>
      <c r="B283" s="51">
        <v>0</v>
      </c>
      <c r="C283" s="5" t="s">
        <v>113</v>
      </c>
      <c r="D283" s="5" t="str">
        <v>HYD_Plumbing Fixture</v>
      </c>
      <c r="E283" s="5" t="str">
        <f t="shared" si="13"/>
        <v>NL-0-ARC_Accessible Path vs HYD_Plumbing Fixture</v>
      </c>
    </row>
    <row r="284" spans="1:5" x14ac:dyDescent="0.25">
      <c r="A284" s="51">
        <v>0</v>
      </c>
      <c r="B284" s="51">
        <v>0</v>
      </c>
      <c r="C284" s="5" t="s">
        <v>113</v>
      </c>
      <c r="D284" s="5" t="str">
        <v>MEC_Air Terminals</v>
      </c>
      <c r="E284" s="5" t="str">
        <f t="shared" si="13"/>
        <v>NL-0-ARC_Accessible Path vs MEC_Air Terminals</v>
      </c>
    </row>
    <row r="285" spans="1:5" x14ac:dyDescent="0.25">
      <c r="A285" s="51">
        <v>0</v>
      </c>
      <c r="B285" s="51">
        <v>0</v>
      </c>
      <c r="C285" s="5" t="s">
        <v>113</v>
      </c>
      <c r="D285" s="5" t="str">
        <v>MEC_Uninsulated Duct and Acc</v>
      </c>
      <c r="E285" s="5" t="str">
        <f t="shared" si="13"/>
        <v>NL-0-ARC_Accessible Path vs MEC_Uninsulated Duct and Acc</v>
      </c>
    </row>
    <row r="286" spans="1:5" x14ac:dyDescent="0.25">
      <c r="A286" s="51">
        <v>0</v>
      </c>
      <c r="B286" s="51">
        <v>0</v>
      </c>
      <c r="C286" s="5" t="s">
        <v>113</v>
      </c>
      <c r="D286" s="5" t="str">
        <v>MEC_Duct Insulation</v>
      </c>
      <c r="E286" s="5" t="str">
        <f t="shared" si="13"/>
        <v>NL-0-ARC_Accessible Path vs MEC_Duct Insulation</v>
      </c>
    </row>
    <row r="287" spans="1:5" x14ac:dyDescent="0.25">
      <c r="A287" s="51">
        <v>0</v>
      </c>
      <c r="B287" s="51">
        <v>0</v>
      </c>
      <c r="C287" s="5" t="s">
        <v>113</v>
      </c>
      <c r="D287" s="5" t="str">
        <v>MEC_Pipe Insulation</v>
      </c>
      <c r="E287" s="5" t="str">
        <f t="shared" si="13"/>
        <v>NL-0-ARC_Accessible Path vs MEC_Pipe Insulation</v>
      </c>
    </row>
    <row r="288" spans="1:5" x14ac:dyDescent="0.25">
      <c r="A288" s="51">
        <v>0</v>
      </c>
      <c r="B288" s="51">
        <v>0</v>
      </c>
      <c r="C288" s="5" t="s">
        <v>113</v>
      </c>
      <c r="D288" s="5" t="str">
        <v>MEC_Uninsulated Pipes and Acc</v>
      </c>
      <c r="E288" s="5" t="str">
        <f t="shared" si="13"/>
        <v>NL-0-ARC_Accessible Path vs MEC_Uninsulated Pipes and Acc</v>
      </c>
    </row>
    <row r="289" spans="1:5" x14ac:dyDescent="0.25">
      <c r="A289" s="51">
        <v>0</v>
      </c>
      <c r="B289" s="51">
        <v>0</v>
      </c>
      <c r="C289" s="5" t="s">
        <v>113</v>
      </c>
      <c r="D289" s="5" t="str">
        <v>MEC_Uninulated Flexi duct</v>
      </c>
      <c r="E289" s="5" t="str">
        <f t="shared" si="13"/>
        <v>NL-0-ARC_Accessible Path vs MEC_Uninulated Flexi duct</v>
      </c>
    </row>
    <row r="290" spans="1:5" x14ac:dyDescent="0.25">
      <c r="A290" s="51">
        <v>0</v>
      </c>
      <c r="B290" s="51">
        <v>0</v>
      </c>
      <c r="C290" s="5" t="s">
        <v>113</v>
      </c>
      <c r="D290" s="5" t="str">
        <v>MEC_Equipment</v>
      </c>
      <c r="E290" s="5" t="str">
        <f t="shared" si="13"/>
        <v>NL-0-ARC_Accessible Path vs MEC_Equipment</v>
      </c>
    </row>
    <row r="291" spans="1:5" x14ac:dyDescent="0.25">
      <c r="A291" s="51">
        <v>0</v>
      </c>
      <c r="B291" s="51">
        <v>0</v>
      </c>
      <c r="C291" s="5" t="s">
        <v>113</v>
      </c>
      <c r="D291" s="5" t="str">
        <v>ELE_Cable Tray and Fittings</v>
      </c>
      <c r="E291" s="5" t="str">
        <f t="shared" si="13"/>
        <v>NL-0-ARC_Accessible Path vs ELE_Cable Tray and Fittings</v>
      </c>
    </row>
    <row r="292" spans="1:5" x14ac:dyDescent="0.25">
      <c r="A292" s="51">
        <v>0</v>
      </c>
      <c r="B292" s="51">
        <v>0</v>
      </c>
      <c r="C292" s="5" t="s">
        <v>113</v>
      </c>
      <c r="D292" s="5" t="str">
        <v>ELE_Conduit*</v>
      </c>
      <c r="E292" s="5" t="str">
        <f t="shared" si="13"/>
        <v>NL-0-ARC_Accessible Path vs ELE_Conduit*</v>
      </c>
    </row>
    <row r="293" spans="1:5" x14ac:dyDescent="0.25">
      <c r="A293" s="51">
        <v>0</v>
      </c>
      <c r="B293" s="51">
        <v>0</v>
      </c>
      <c r="C293" s="5" t="s">
        <v>113</v>
      </c>
      <c r="D293" s="5" t="str">
        <v>ELE_Electrical Equip.</v>
      </c>
      <c r="E293" s="5" t="str">
        <f t="shared" si="13"/>
        <v>NL-0-ARC_Accessible Path vs ELE_Electrical Equip.</v>
      </c>
    </row>
    <row r="294" spans="1:5" x14ac:dyDescent="0.25">
      <c r="A294" s="51">
        <v>0</v>
      </c>
      <c r="B294" s="51">
        <v>0</v>
      </c>
      <c r="C294" s="5" t="s">
        <v>113</v>
      </c>
      <c r="D294" s="5" t="str">
        <v>ELE_Small Devices</v>
      </c>
      <c r="E294" s="5" t="str">
        <f t="shared" si="13"/>
        <v>NL-0-ARC_Accessible Path vs ELE_Small Devices</v>
      </c>
    </row>
    <row r="295" spans="1:5" x14ac:dyDescent="0.25">
      <c r="A295" s="51">
        <v>0</v>
      </c>
      <c r="B295" s="51">
        <v>0</v>
      </c>
      <c r="C295" s="5" t="s">
        <v>113</v>
      </c>
      <c r="D295" s="5" t="str">
        <v>ELE_Services Lighting Fixtures</v>
      </c>
      <c r="E295" s="5" t="str">
        <f t="shared" si="13"/>
        <v>NL-0-ARC_Accessible Path vs ELE_Services Lighting Fixtures</v>
      </c>
    </row>
    <row r="296" spans="1:5" x14ac:dyDescent="0.25">
      <c r="A296" s="51">
        <v>0</v>
      </c>
      <c r="B296" s="51">
        <v>0</v>
      </c>
      <c r="C296" s="5" t="s">
        <v>113</v>
      </c>
      <c r="D296" s="5" t="str">
        <v>FIR_Fire Pipes</v>
      </c>
      <c r="E296" s="5" t="str">
        <f t="shared" si="13"/>
        <v>NL-0-ARC_Accessible Path vs FIR_Fire Pipes</v>
      </c>
    </row>
    <row r="297" spans="1:5" x14ac:dyDescent="0.25">
      <c r="A297" s="51">
        <v>0</v>
      </c>
      <c r="B297" s="51">
        <v>0</v>
      </c>
      <c r="C297" s="5" t="s">
        <v>113</v>
      </c>
      <c r="D297" s="5" t="str">
        <v>FIR_Sprinklers Heads</v>
      </c>
      <c r="E297" s="5" t="str">
        <f t="shared" si="13"/>
        <v>NL-0-ARC_Accessible Path vs FIR_Sprinklers Heads</v>
      </c>
    </row>
    <row r="298" spans="1:5" x14ac:dyDescent="0.25">
      <c r="A298" s="51">
        <v>0</v>
      </c>
      <c r="B298" s="51">
        <v>0</v>
      </c>
      <c r="C298" s="5" t="s">
        <v>113</v>
      </c>
      <c r="D298" s="5" t="str">
        <v>FIR_Heat or Smoke Detectors</v>
      </c>
      <c r="E298" s="5" t="str">
        <f t="shared" si="13"/>
        <v>NL-0-ARC_Accessible Path vs FIR_Heat or Smoke Detectors</v>
      </c>
    </row>
    <row r="299" spans="1:5" x14ac:dyDescent="0.25">
      <c r="A299" s="51" cm="1">
        <f t="array" ref="A299:A326">TRANSPOSE('Clash Matrix (Update to suit)'!L20:AM20)</f>
        <v>0</v>
      </c>
      <c r="B299" s="51" cm="1">
        <f t="array" ref="B299:B326">TRANSPOSE('Clash Matrix (Update to suit)'!L21:AM21)</f>
        <v>0</v>
      </c>
      <c r="C299" s="5" t="str">
        <f>'Item Categories'!C11</f>
        <v>SRV_Access Panel</v>
      </c>
      <c r="D299" s="5" t="str" cm="1">
        <f t="array" ref="D299:D326">TRANSPOSE('Clash Matrix (Update to suit)'!L1:AM1)</f>
        <v>SRV_Access Panel</v>
      </c>
      <c r="E299" s="5" t="str">
        <f t="shared" si="13"/>
        <v>NL-0-SRV_Access Panel vs SRV_Access Panel</v>
      </c>
    </row>
    <row r="300" spans="1:5" x14ac:dyDescent="0.25">
      <c r="A300" s="51">
        <v>0</v>
      </c>
      <c r="B300" s="51">
        <v>0</v>
      </c>
      <c r="C300" s="5" t="str">
        <f>C299</f>
        <v>SRV_Access Panel</v>
      </c>
      <c r="D300" s="5" t="str">
        <v>ARC_Lighting Fixtures</v>
      </c>
      <c r="E300" s="5" t="str">
        <f t="shared" si="13"/>
        <v>NL-0-SRV_Access Panel vs ARC_Lighting Fixtures</v>
      </c>
    </row>
    <row r="301" spans="1:5" x14ac:dyDescent="0.25">
      <c r="A301" s="51" t="str">
        <v>T3</v>
      </c>
      <c r="B301" s="51" t="str">
        <v>C600V</v>
      </c>
      <c r="C301" s="5" t="str">
        <f t="shared" ref="C301:C326" si="14">C300</f>
        <v>SRV_Access Panel</v>
      </c>
      <c r="D301" s="5" t="str">
        <v>ARC_Plumbing Fixtures</v>
      </c>
      <c r="E301" s="5" t="str">
        <f t="shared" si="13"/>
        <v>NL-C600V-SRV_Access Panel vs ARC_Plumbing Fixtures</v>
      </c>
    </row>
    <row r="302" spans="1:5" x14ac:dyDescent="0.25">
      <c r="A302" s="51">
        <v>0</v>
      </c>
      <c r="B302" s="51">
        <v>0</v>
      </c>
      <c r="C302" s="5" t="str">
        <f t="shared" si="14"/>
        <v>SRV_Access Panel</v>
      </c>
      <c r="D302" s="5" t="str">
        <v>ARC_SOG Floor Insulation</v>
      </c>
      <c r="E302" s="5" t="str">
        <f t="shared" ref="E302:E332" si="15">"NL-"&amp;B302&amp; "-"&amp; C302&amp;" vs "&amp;D302</f>
        <v>NL-0-SRV_Access Panel vs ARC_SOG Floor Insulation</v>
      </c>
    </row>
    <row r="303" spans="1:5" x14ac:dyDescent="0.25">
      <c r="A303" s="51" t="str">
        <v>T3</v>
      </c>
      <c r="B303" s="51" t="str">
        <v>C600V</v>
      </c>
      <c r="C303" s="5" t="str">
        <f t="shared" si="14"/>
        <v>SRV_Access Panel</v>
      </c>
      <c r="D303" s="5" t="str">
        <v>STR_Seismic Elements</v>
      </c>
      <c r="E303" s="5" t="str">
        <f t="shared" si="15"/>
        <v>NL-C600V-SRV_Access Panel vs STR_Seismic Elements</v>
      </c>
    </row>
    <row r="304" spans="1:5" x14ac:dyDescent="0.25">
      <c r="A304" s="51">
        <v>0</v>
      </c>
      <c r="B304" s="51">
        <v>0</v>
      </c>
      <c r="C304" s="5" t="str">
        <f t="shared" si="14"/>
        <v>SRV_Access Panel</v>
      </c>
      <c r="D304" s="5" t="str">
        <v>STR_Conc work Excl Floor Slab</v>
      </c>
      <c r="E304" s="5" t="str">
        <f t="shared" si="15"/>
        <v>NL-0-SRV_Access Panel vs STR_Conc work Excl Floor Slab</v>
      </c>
    </row>
    <row r="305" spans="1:5" x14ac:dyDescent="0.25">
      <c r="A305" s="51" t="str">
        <v>T3</v>
      </c>
      <c r="B305" s="51" t="str">
        <v>C600V</v>
      </c>
      <c r="C305" s="5" t="str">
        <f t="shared" si="14"/>
        <v>SRV_Access Panel</v>
      </c>
      <c r="D305" s="5" t="str">
        <v>STR_Steelwork (Bracing and Columns)</v>
      </c>
      <c r="E305" s="5" t="str">
        <f t="shared" si="15"/>
        <v>NL-C600V-SRV_Access Panel vs STR_Steelwork (Bracing and Columns)</v>
      </c>
    </row>
    <row r="306" spans="1:5" x14ac:dyDescent="0.25">
      <c r="A306" s="51">
        <v>0</v>
      </c>
      <c r="B306" s="51">
        <v>0</v>
      </c>
      <c r="C306" s="5" t="str">
        <f t="shared" si="14"/>
        <v>SRV_Access Panel</v>
      </c>
      <c r="D306" s="5" t="str">
        <v>STR Floor</v>
      </c>
      <c r="E306" s="5" t="str">
        <f t="shared" si="15"/>
        <v>NL-0-SRV_Access Panel vs STR Floor</v>
      </c>
    </row>
    <row r="307" spans="1:5" x14ac:dyDescent="0.25">
      <c r="A307" s="51" t="str">
        <v>T3</v>
      </c>
      <c r="B307" s="51" t="str">
        <v>C600V</v>
      </c>
      <c r="C307" s="5" t="str">
        <f t="shared" si="14"/>
        <v>SRV_Access Panel</v>
      </c>
      <c r="D307" s="5" t="str">
        <v>HYD_Uninsulated Pipes and Acc</v>
      </c>
      <c r="E307" s="5" t="str">
        <f t="shared" si="15"/>
        <v>NL-C600V-SRV_Access Panel vs HYD_Uninsulated Pipes and Acc</v>
      </c>
    </row>
    <row r="308" spans="1:5" x14ac:dyDescent="0.25">
      <c r="A308" s="51" t="str">
        <v>T3</v>
      </c>
      <c r="B308" s="51" t="str">
        <v>C600V</v>
      </c>
      <c r="C308" s="5" t="str">
        <f t="shared" si="14"/>
        <v>SRV_Access Panel</v>
      </c>
      <c r="D308" s="5" t="str">
        <v>HYD_Pipe Insulation</v>
      </c>
      <c r="E308" s="5" t="str">
        <f t="shared" si="15"/>
        <v>NL-C600V-SRV_Access Panel vs HYD_Pipe Insulation</v>
      </c>
    </row>
    <row r="309" spans="1:5" x14ac:dyDescent="0.25">
      <c r="A309" s="51" t="str">
        <v>T3</v>
      </c>
      <c r="B309" s="51" t="str">
        <v>C600V</v>
      </c>
      <c r="C309" s="5" t="str">
        <f t="shared" si="14"/>
        <v>SRV_Access Panel</v>
      </c>
      <c r="D309" s="5" t="str">
        <v>HYD_Uninsulated Hot and Cold Pipes and Acc</v>
      </c>
      <c r="E309" s="5" t="str">
        <f t="shared" si="15"/>
        <v>NL-C600V-SRV_Access Panel vs HYD_Uninsulated Hot and Cold Pipes and Acc</v>
      </c>
    </row>
    <row r="310" spans="1:5" x14ac:dyDescent="0.25">
      <c r="A310" s="51" t="str">
        <v>T3</v>
      </c>
      <c r="B310" s="51" t="str">
        <v>C600V</v>
      </c>
      <c r="C310" s="5" t="str">
        <f t="shared" si="14"/>
        <v>SRV_Access Panel</v>
      </c>
      <c r="D310" s="5" t="str">
        <v>HYD_Hot and Cold Insulation</v>
      </c>
      <c r="E310" s="5" t="str">
        <f t="shared" si="15"/>
        <v>NL-C600V-SRV_Access Panel vs HYD_Hot and Cold Insulation</v>
      </c>
    </row>
    <row r="311" spans="1:5" x14ac:dyDescent="0.25">
      <c r="A311" s="51">
        <v>0</v>
      </c>
      <c r="B311" s="51">
        <v>0</v>
      </c>
      <c r="C311" s="5" t="str">
        <f t="shared" si="14"/>
        <v>SRV_Access Panel</v>
      </c>
      <c r="D311" s="5" t="str">
        <v>HYD_Plumbing Fixture</v>
      </c>
      <c r="E311" s="5" t="str">
        <f t="shared" si="15"/>
        <v>NL-0-SRV_Access Panel vs HYD_Plumbing Fixture</v>
      </c>
    </row>
    <row r="312" spans="1:5" x14ac:dyDescent="0.25">
      <c r="A312" s="51" t="str">
        <v>T3</v>
      </c>
      <c r="B312" s="51" t="str">
        <v>C600V</v>
      </c>
      <c r="C312" s="5" t="str">
        <f t="shared" si="14"/>
        <v>SRV_Access Panel</v>
      </c>
      <c r="D312" s="5" t="str">
        <v>MEC_Air Terminals</v>
      </c>
      <c r="E312" s="5" t="str">
        <f t="shared" si="15"/>
        <v>NL-C600V-SRV_Access Panel vs MEC_Air Terminals</v>
      </c>
    </row>
    <row r="313" spans="1:5" x14ac:dyDescent="0.25">
      <c r="A313" s="51" t="str">
        <v>T3</v>
      </c>
      <c r="B313" s="51" t="str">
        <v>C600V</v>
      </c>
      <c r="C313" s="5" t="str">
        <f t="shared" si="14"/>
        <v>SRV_Access Panel</v>
      </c>
      <c r="D313" s="5" t="str">
        <v>MEC_Uninsulated Duct and Acc</v>
      </c>
      <c r="E313" s="5" t="str">
        <f t="shared" si="15"/>
        <v>NL-C600V-SRV_Access Panel vs MEC_Uninsulated Duct and Acc</v>
      </c>
    </row>
    <row r="314" spans="1:5" x14ac:dyDescent="0.25">
      <c r="A314" s="51" t="str">
        <v>T3</v>
      </c>
      <c r="B314" s="51" t="str">
        <v>C600V</v>
      </c>
      <c r="C314" s="5" t="str">
        <f t="shared" si="14"/>
        <v>SRV_Access Panel</v>
      </c>
      <c r="D314" s="5" t="str">
        <v>MEC_Duct Insulation</v>
      </c>
      <c r="E314" s="5" t="str">
        <f t="shared" si="15"/>
        <v>NL-C600V-SRV_Access Panel vs MEC_Duct Insulation</v>
      </c>
    </row>
    <row r="315" spans="1:5" x14ac:dyDescent="0.25">
      <c r="A315" s="51" t="str">
        <v>T3</v>
      </c>
      <c r="B315" s="51" t="str">
        <v>C600V</v>
      </c>
      <c r="C315" s="5" t="str">
        <f t="shared" si="14"/>
        <v>SRV_Access Panel</v>
      </c>
      <c r="D315" s="5" t="str">
        <v>MEC_Pipe Insulation</v>
      </c>
      <c r="E315" s="5" t="str">
        <f t="shared" si="15"/>
        <v>NL-C600V-SRV_Access Panel vs MEC_Pipe Insulation</v>
      </c>
    </row>
    <row r="316" spans="1:5" x14ac:dyDescent="0.25">
      <c r="A316" s="51" t="str">
        <v>T3</v>
      </c>
      <c r="B316" s="51" t="str">
        <v>C600V</v>
      </c>
      <c r="C316" s="5" t="str">
        <f t="shared" si="14"/>
        <v>SRV_Access Panel</v>
      </c>
      <c r="D316" s="5" t="str">
        <v>MEC_Uninsulated Pipes and Acc</v>
      </c>
      <c r="E316" s="5" t="str">
        <f t="shared" si="15"/>
        <v>NL-C600V-SRV_Access Panel vs MEC_Uninsulated Pipes and Acc</v>
      </c>
    </row>
    <row r="317" spans="1:5" x14ac:dyDescent="0.25">
      <c r="A317" s="51" t="str">
        <v>T3</v>
      </c>
      <c r="B317" s="51" t="str">
        <v>C600V</v>
      </c>
      <c r="C317" s="5" t="str">
        <f t="shared" si="14"/>
        <v>SRV_Access Panel</v>
      </c>
      <c r="D317" s="5" t="str">
        <v>MEC_Uninulated Flexi duct</v>
      </c>
      <c r="E317" s="5" t="str">
        <f t="shared" si="15"/>
        <v>NL-C600V-SRV_Access Panel vs MEC_Uninulated Flexi duct</v>
      </c>
    </row>
    <row r="318" spans="1:5" x14ac:dyDescent="0.25">
      <c r="A318" s="51" t="str">
        <v>T3</v>
      </c>
      <c r="B318" s="51" t="str">
        <v>C600V</v>
      </c>
      <c r="C318" s="5" t="str">
        <f t="shared" si="14"/>
        <v>SRV_Access Panel</v>
      </c>
      <c r="D318" s="5" t="str">
        <v>MEC_Equipment</v>
      </c>
      <c r="E318" s="5" t="str">
        <f t="shared" si="15"/>
        <v>NL-C600V-SRV_Access Panel vs MEC_Equipment</v>
      </c>
    </row>
    <row r="319" spans="1:5" x14ac:dyDescent="0.25">
      <c r="A319" s="51" t="str">
        <v>T3</v>
      </c>
      <c r="B319" s="51" t="str">
        <v>C600V</v>
      </c>
      <c r="C319" s="5" t="str">
        <f t="shared" si="14"/>
        <v>SRV_Access Panel</v>
      </c>
      <c r="D319" s="5" t="str">
        <v>ELE_Cable Tray and Fittings</v>
      </c>
      <c r="E319" s="5" t="str">
        <f t="shared" si="15"/>
        <v>NL-C600V-SRV_Access Panel vs ELE_Cable Tray and Fittings</v>
      </c>
    </row>
    <row r="320" spans="1:5" x14ac:dyDescent="0.25">
      <c r="A320" s="51" t="str">
        <v>T3</v>
      </c>
      <c r="B320" s="51" t="str">
        <v>C600V</v>
      </c>
      <c r="C320" s="5" t="str">
        <f t="shared" si="14"/>
        <v>SRV_Access Panel</v>
      </c>
      <c r="D320" s="5" t="str">
        <v>ELE_Conduit*</v>
      </c>
      <c r="E320" s="5" t="str">
        <f t="shared" si="15"/>
        <v>NL-C600V-SRV_Access Panel vs ELE_Conduit*</v>
      </c>
    </row>
    <row r="321" spans="1:5" x14ac:dyDescent="0.25">
      <c r="A321" s="51" t="str">
        <v>T3</v>
      </c>
      <c r="B321" s="51" t="str">
        <v>C600V</v>
      </c>
      <c r="C321" s="5" t="str">
        <f t="shared" si="14"/>
        <v>SRV_Access Panel</v>
      </c>
      <c r="D321" s="5" t="str">
        <v>ELE_Electrical Equip.</v>
      </c>
      <c r="E321" s="5" t="str">
        <f t="shared" si="15"/>
        <v>NL-C600V-SRV_Access Panel vs ELE_Electrical Equip.</v>
      </c>
    </row>
    <row r="322" spans="1:5" x14ac:dyDescent="0.25">
      <c r="A322" s="51" t="str">
        <v>T3</v>
      </c>
      <c r="B322" s="51" t="str">
        <v>C600V</v>
      </c>
      <c r="C322" s="5" t="str">
        <f t="shared" si="14"/>
        <v>SRV_Access Panel</v>
      </c>
      <c r="D322" s="5" t="str">
        <v>ELE_Small Devices</v>
      </c>
      <c r="E322" s="5" t="str">
        <f t="shared" si="15"/>
        <v>NL-C600V-SRV_Access Panel vs ELE_Small Devices</v>
      </c>
    </row>
    <row r="323" spans="1:5" x14ac:dyDescent="0.25">
      <c r="A323" s="51" t="str">
        <v>T3</v>
      </c>
      <c r="B323" s="51" t="str">
        <v>C600V</v>
      </c>
      <c r="C323" s="5" t="str">
        <f t="shared" si="14"/>
        <v>SRV_Access Panel</v>
      </c>
      <c r="D323" s="5" t="str">
        <v>ELE_Services Lighting Fixtures</v>
      </c>
      <c r="E323" s="5" t="str">
        <f t="shared" si="15"/>
        <v>NL-C600V-SRV_Access Panel vs ELE_Services Lighting Fixtures</v>
      </c>
    </row>
    <row r="324" spans="1:5" x14ac:dyDescent="0.25">
      <c r="A324" s="51" t="str">
        <v>T3</v>
      </c>
      <c r="B324" s="51" t="str">
        <v>C600V</v>
      </c>
      <c r="C324" s="5" t="str">
        <f t="shared" si="14"/>
        <v>SRV_Access Panel</v>
      </c>
      <c r="D324" s="5" t="str">
        <v>FIR_Fire Pipes</v>
      </c>
      <c r="E324" s="5" t="str">
        <f t="shared" si="15"/>
        <v>NL-C600V-SRV_Access Panel vs FIR_Fire Pipes</v>
      </c>
    </row>
    <row r="325" spans="1:5" x14ac:dyDescent="0.25">
      <c r="A325" s="51">
        <v>0</v>
      </c>
      <c r="B325" s="51">
        <v>0</v>
      </c>
      <c r="C325" s="5" t="str">
        <f t="shared" si="14"/>
        <v>SRV_Access Panel</v>
      </c>
      <c r="D325" s="5" t="str">
        <v>FIR_Sprinklers Heads</v>
      </c>
      <c r="E325" s="5" t="str">
        <f t="shared" si="15"/>
        <v>NL-0-SRV_Access Panel vs FIR_Sprinklers Heads</v>
      </c>
    </row>
    <row r="326" spans="1:5" x14ac:dyDescent="0.25">
      <c r="A326" s="51">
        <v>0</v>
      </c>
      <c r="B326" s="51">
        <v>0</v>
      </c>
      <c r="C326" s="5" t="str">
        <f t="shared" si="14"/>
        <v>SRV_Access Panel</v>
      </c>
      <c r="D326" s="5" t="str">
        <v>FIR_Heat or Smoke Detectors</v>
      </c>
      <c r="E326" s="5" t="str">
        <f t="shared" si="15"/>
        <v>NL-0-SRV_Access Panel vs FIR_Heat or Smoke Detectors</v>
      </c>
    </row>
    <row r="327" spans="1:5" x14ac:dyDescent="0.25">
      <c r="A327" s="51" cm="1">
        <f t="array" ref="A327:A353">TRANSPOSE('Clash Matrix (Update to suit)'!M22:AM22)</f>
        <v>0</v>
      </c>
      <c r="B327" s="51" cm="1">
        <f t="array" ref="B327:B353">TRANSPOSE('Clash Matrix (Update to suit)'!M23:AM23)</f>
        <v>0</v>
      </c>
      <c r="C327" s="5" t="str">
        <f>'Item Categories'!C12</f>
        <v>ARC_Lighting Fixtures</v>
      </c>
      <c r="D327" s="5" t="str" cm="1">
        <f t="array" ref="D327:D353">TRANSPOSE('Clash Matrix (Update to suit)'!M1:AM1)</f>
        <v>ARC_Lighting Fixtures</v>
      </c>
      <c r="E327" s="5" t="str">
        <f t="shared" si="15"/>
        <v>NL-0-ARC_Lighting Fixtures vs ARC_Lighting Fixtures</v>
      </c>
    </row>
    <row r="328" spans="1:5" x14ac:dyDescent="0.25">
      <c r="A328" s="51">
        <v>0</v>
      </c>
      <c r="B328" s="51">
        <v>0</v>
      </c>
      <c r="C328" s="5" t="s">
        <v>128</v>
      </c>
      <c r="D328" s="5" t="str">
        <v>ARC_Plumbing Fixtures</v>
      </c>
      <c r="E328" s="5" t="str">
        <f t="shared" si="15"/>
        <v>NL-0-ARC_Lighting Fixtures vs ARC_Plumbing Fixtures</v>
      </c>
    </row>
    <row r="329" spans="1:5" x14ac:dyDescent="0.25">
      <c r="A329" s="51">
        <v>0</v>
      </c>
      <c r="B329" s="51">
        <v>0</v>
      </c>
      <c r="C329" s="5" t="s">
        <v>128</v>
      </c>
      <c r="D329" s="5" t="str">
        <v>ARC_SOG Floor Insulation</v>
      </c>
      <c r="E329" s="5" t="str">
        <f t="shared" si="15"/>
        <v>NL-0-ARC_Lighting Fixtures vs ARC_SOG Floor Insulation</v>
      </c>
    </row>
    <row r="330" spans="1:5" x14ac:dyDescent="0.25">
      <c r="A330" s="51">
        <v>0</v>
      </c>
      <c r="B330" s="51">
        <v>0</v>
      </c>
      <c r="C330" s="5" t="s">
        <v>128</v>
      </c>
      <c r="D330" s="5" t="str">
        <v>STR_Seismic Elements</v>
      </c>
      <c r="E330" s="5" t="str">
        <f t="shared" si="15"/>
        <v>NL-0-ARC_Lighting Fixtures vs STR_Seismic Elements</v>
      </c>
    </row>
    <row r="331" spans="1:5" x14ac:dyDescent="0.25">
      <c r="A331" s="51">
        <v>0</v>
      </c>
      <c r="B331" s="51">
        <v>0</v>
      </c>
      <c r="C331" s="5" t="s">
        <v>128</v>
      </c>
      <c r="D331" s="5" t="str">
        <v>STR_Conc work Excl Floor Slab</v>
      </c>
      <c r="E331" s="5" t="str">
        <f t="shared" si="15"/>
        <v>NL-0-ARC_Lighting Fixtures vs STR_Conc work Excl Floor Slab</v>
      </c>
    </row>
    <row r="332" spans="1:5" x14ac:dyDescent="0.25">
      <c r="A332" s="51">
        <v>0</v>
      </c>
      <c r="B332" s="51">
        <v>0</v>
      </c>
      <c r="C332" s="5" t="s">
        <v>128</v>
      </c>
      <c r="D332" s="5" t="str">
        <v>STR_Steelwork (Bracing and Columns)</v>
      </c>
      <c r="E332" s="5" t="str">
        <f t="shared" si="15"/>
        <v>NL-0-ARC_Lighting Fixtures vs STR_Steelwork (Bracing and Columns)</v>
      </c>
    </row>
    <row r="333" spans="1:5" x14ac:dyDescent="0.25">
      <c r="A333" s="51">
        <v>0</v>
      </c>
      <c r="B333" s="51">
        <v>0</v>
      </c>
      <c r="C333" s="5" t="s">
        <v>128</v>
      </c>
      <c r="D333" s="5" t="str">
        <v>STR Floor</v>
      </c>
      <c r="E333" s="5" t="str">
        <f t="shared" ref="E333:E353" si="16">"NL-"&amp;B333&amp; "-"&amp; C333&amp;" vs "&amp;D333</f>
        <v>NL-0-ARC_Lighting Fixtures vs STR Floor</v>
      </c>
    </row>
    <row r="334" spans="1:5" x14ac:dyDescent="0.25">
      <c r="A334" s="51">
        <v>0</v>
      </c>
      <c r="B334" s="51">
        <v>0</v>
      </c>
      <c r="C334" s="5" t="s">
        <v>128</v>
      </c>
      <c r="D334" s="5" t="str">
        <v>HYD_Uninsulated Pipes and Acc</v>
      </c>
      <c r="E334" s="5" t="str">
        <f t="shared" si="16"/>
        <v>NL-0-ARC_Lighting Fixtures vs HYD_Uninsulated Pipes and Acc</v>
      </c>
    </row>
    <row r="335" spans="1:5" x14ac:dyDescent="0.25">
      <c r="A335" s="51">
        <v>0</v>
      </c>
      <c r="B335" s="51">
        <v>0</v>
      </c>
      <c r="C335" s="5" t="s">
        <v>128</v>
      </c>
      <c r="D335" s="5" t="str">
        <v>HYD_Pipe Insulation</v>
      </c>
      <c r="E335" s="5" t="str">
        <f t="shared" si="16"/>
        <v>NL-0-ARC_Lighting Fixtures vs HYD_Pipe Insulation</v>
      </c>
    </row>
    <row r="336" spans="1:5" x14ac:dyDescent="0.25">
      <c r="A336" s="51">
        <v>0</v>
      </c>
      <c r="B336" s="51">
        <v>0</v>
      </c>
      <c r="C336" s="5" t="s">
        <v>128</v>
      </c>
      <c r="D336" s="5" t="str">
        <v>HYD_Uninsulated Hot and Cold Pipes and Acc</v>
      </c>
      <c r="E336" s="5" t="str">
        <f t="shared" si="16"/>
        <v>NL-0-ARC_Lighting Fixtures vs HYD_Uninsulated Hot and Cold Pipes and Acc</v>
      </c>
    </row>
    <row r="337" spans="1:5" x14ac:dyDescent="0.25">
      <c r="A337" s="51">
        <v>0</v>
      </c>
      <c r="B337" s="51">
        <v>0</v>
      </c>
      <c r="C337" s="5" t="s">
        <v>128</v>
      </c>
      <c r="D337" s="5" t="str">
        <v>HYD_Hot and Cold Insulation</v>
      </c>
      <c r="E337" s="5" t="str">
        <f t="shared" si="16"/>
        <v>NL-0-ARC_Lighting Fixtures vs HYD_Hot and Cold Insulation</v>
      </c>
    </row>
    <row r="338" spans="1:5" x14ac:dyDescent="0.25">
      <c r="A338" s="51">
        <v>0</v>
      </c>
      <c r="B338" s="51">
        <v>0</v>
      </c>
      <c r="C338" s="5" t="s">
        <v>128</v>
      </c>
      <c r="D338" s="5" t="str">
        <v>HYD_Plumbing Fixture</v>
      </c>
      <c r="E338" s="5" t="str">
        <f t="shared" si="16"/>
        <v>NL-0-ARC_Lighting Fixtures vs HYD_Plumbing Fixture</v>
      </c>
    </row>
    <row r="339" spans="1:5" x14ac:dyDescent="0.25">
      <c r="A339" s="51">
        <v>0</v>
      </c>
      <c r="B339" s="51">
        <v>0</v>
      </c>
      <c r="C339" s="5" t="s">
        <v>128</v>
      </c>
      <c r="D339" s="5" t="str">
        <v>MEC_Air Terminals</v>
      </c>
      <c r="E339" s="5" t="str">
        <f t="shared" si="16"/>
        <v>NL-0-ARC_Lighting Fixtures vs MEC_Air Terminals</v>
      </c>
    </row>
    <row r="340" spans="1:5" x14ac:dyDescent="0.25">
      <c r="A340" s="51">
        <v>0</v>
      </c>
      <c r="B340" s="51">
        <v>0</v>
      </c>
      <c r="C340" s="5" t="s">
        <v>128</v>
      </c>
      <c r="D340" s="5" t="str">
        <v>MEC_Uninsulated Duct and Acc</v>
      </c>
      <c r="E340" s="5" t="str">
        <f t="shared" si="16"/>
        <v>NL-0-ARC_Lighting Fixtures vs MEC_Uninsulated Duct and Acc</v>
      </c>
    </row>
    <row r="341" spans="1:5" x14ac:dyDescent="0.25">
      <c r="A341" s="51">
        <v>0</v>
      </c>
      <c r="B341" s="51">
        <v>0</v>
      </c>
      <c r="C341" s="5" t="s">
        <v>128</v>
      </c>
      <c r="D341" s="5" t="str">
        <v>MEC_Duct Insulation</v>
      </c>
      <c r="E341" s="5" t="str">
        <f t="shared" si="16"/>
        <v>NL-0-ARC_Lighting Fixtures vs MEC_Duct Insulation</v>
      </c>
    </row>
    <row r="342" spans="1:5" x14ac:dyDescent="0.25">
      <c r="A342" s="51">
        <v>0</v>
      </c>
      <c r="B342" s="51">
        <v>0</v>
      </c>
      <c r="C342" s="5" t="s">
        <v>128</v>
      </c>
      <c r="D342" s="5" t="str">
        <v>MEC_Pipe Insulation</v>
      </c>
      <c r="E342" s="5" t="str">
        <f t="shared" si="16"/>
        <v>NL-0-ARC_Lighting Fixtures vs MEC_Pipe Insulation</v>
      </c>
    </row>
    <row r="343" spans="1:5" x14ac:dyDescent="0.25">
      <c r="A343" s="51">
        <v>0</v>
      </c>
      <c r="B343" s="51">
        <v>0</v>
      </c>
      <c r="C343" s="5" t="s">
        <v>128</v>
      </c>
      <c r="D343" s="5" t="str">
        <v>MEC_Uninsulated Pipes and Acc</v>
      </c>
      <c r="E343" s="5" t="str">
        <f t="shared" si="16"/>
        <v>NL-0-ARC_Lighting Fixtures vs MEC_Uninsulated Pipes and Acc</v>
      </c>
    </row>
    <row r="344" spans="1:5" x14ac:dyDescent="0.25">
      <c r="A344" s="51">
        <v>0</v>
      </c>
      <c r="B344" s="51">
        <v>0</v>
      </c>
      <c r="C344" s="5" t="s">
        <v>128</v>
      </c>
      <c r="D344" s="5" t="str">
        <v>MEC_Uninulated Flexi duct</v>
      </c>
      <c r="E344" s="5" t="str">
        <f t="shared" si="16"/>
        <v>NL-0-ARC_Lighting Fixtures vs MEC_Uninulated Flexi duct</v>
      </c>
    </row>
    <row r="345" spans="1:5" x14ac:dyDescent="0.25">
      <c r="A345" s="51">
        <v>0</v>
      </c>
      <c r="B345" s="51">
        <v>0</v>
      </c>
      <c r="C345" s="5" t="s">
        <v>128</v>
      </c>
      <c r="D345" s="5" t="str">
        <v>MEC_Equipment</v>
      </c>
      <c r="E345" s="5" t="str">
        <f t="shared" si="16"/>
        <v>NL-0-ARC_Lighting Fixtures vs MEC_Equipment</v>
      </c>
    </row>
    <row r="346" spans="1:5" x14ac:dyDescent="0.25">
      <c r="A346" s="51">
        <v>0</v>
      </c>
      <c r="B346" s="51">
        <v>0</v>
      </c>
      <c r="C346" s="5" t="s">
        <v>128</v>
      </c>
      <c r="D346" s="5" t="str">
        <v>ELE_Cable Tray and Fittings</v>
      </c>
      <c r="E346" s="5" t="str">
        <f t="shared" si="16"/>
        <v>NL-0-ARC_Lighting Fixtures vs ELE_Cable Tray and Fittings</v>
      </c>
    </row>
    <row r="347" spans="1:5" x14ac:dyDescent="0.25">
      <c r="A347" s="51">
        <v>0</v>
      </c>
      <c r="B347" s="51">
        <v>0</v>
      </c>
      <c r="C347" s="5" t="s">
        <v>128</v>
      </c>
      <c r="D347" s="5" t="str">
        <v>ELE_Conduit*</v>
      </c>
      <c r="E347" s="5" t="str">
        <f t="shared" si="16"/>
        <v>NL-0-ARC_Lighting Fixtures vs ELE_Conduit*</v>
      </c>
    </row>
    <row r="348" spans="1:5" x14ac:dyDescent="0.25">
      <c r="A348" s="51">
        <v>0</v>
      </c>
      <c r="B348" s="51">
        <v>0</v>
      </c>
      <c r="C348" s="5" t="s">
        <v>128</v>
      </c>
      <c r="D348" s="5" t="str">
        <v>ELE_Electrical Equip.</v>
      </c>
      <c r="E348" s="5" t="str">
        <f t="shared" si="16"/>
        <v>NL-0-ARC_Lighting Fixtures vs ELE_Electrical Equip.</v>
      </c>
    </row>
    <row r="349" spans="1:5" x14ac:dyDescent="0.25">
      <c r="A349" s="51">
        <v>0</v>
      </c>
      <c r="B349" s="51">
        <v>0</v>
      </c>
      <c r="C349" s="5" t="s">
        <v>128</v>
      </c>
      <c r="D349" s="5" t="str">
        <v>ELE_Small Devices</v>
      </c>
      <c r="E349" s="5" t="str">
        <f t="shared" si="16"/>
        <v>NL-0-ARC_Lighting Fixtures vs ELE_Small Devices</v>
      </c>
    </row>
    <row r="350" spans="1:5" x14ac:dyDescent="0.25">
      <c r="A350" s="51" t="str">
        <v>T3</v>
      </c>
      <c r="B350" s="51" t="str">
        <v>HC</v>
      </c>
      <c r="C350" s="5" t="s">
        <v>128</v>
      </c>
      <c r="D350" s="5" t="str">
        <v>ELE_Services Lighting Fixtures</v>
      </c>
      <c r="E350" s="5" t="str">
        <f t="shared" si="16"/>
        <v>NL-HC-ARC_Lighting Fixtures vs ELE_Services Lighting Fixtures</v>
      </c>
    </row>
    <row r="351" spans="1:5" x14ac:dyDescent="0.25">
      <c r="A351" s="51">
        <v>0</v>
      </c>
      <c r="B351" s="51">
        <v>0</v>
      </c>
      <c r="C351" s="5" t="s">
        <v>128</v>
      </c>
      <c r="D351" s="5" t="str">
        <v>FIR_Fire Pipes</v>
      </c>
      <c r="E351" s="5" t="str">
        <f t="shared" si="16"/>
        <v>NL-0-ARC_Lighting Fixtures vs FIR_Fire Pipes</v>
      </c>
    </row>
    <row r="352" spans="1:5" x14ac:dyDescent="0.25">
      <c r="A352" s="51">
        <v>0</v>
      </c>
      <c r="B352" s="51">
        <v>0</v>
      </c>
      <c r="C352" s="5" t="s">
        <v>128</v>
      </c>
      <c r="D352" s="5" t="str">
        <v>FIR_Sprinklers Heads</v>
      </c>
      <c r="E352" s="5" t="str">
        <f t="shared" si="16"/>
        <v>NL-0-ARC_Lighting Fixtures vs FIR_Sprinklers Heads</v>
      </c>
    </row>
    <row r="353" spans="1:5" x14ac:dyDescent="0.25">
      <c r="A353" s="51">
        <v>0</v>
      </c>
      <c r="B353" s="51">
        <v>0</v>
      </c>
      <c r="C353" s="5" t="s">
        <v>128</v>
      </c>
      <c r="D353" s="5" t="str">
        <v>FIR_Heat or Smoke Detectors</v>
      </c>
      <c r="E353" s="5" t="str">
        <f t="shared" si="16"/>
        <v>NL-0-ARC_Lighting Fixtures vs FIR_Heat or Smoke Detectors</v>
      </c>
    </row>
    <row r="354" spans="1:5" x14ac:dyDescent="0.25">
      <c r="A354" s="51" cm="1">
        <f t="array" ref="A354:A379">TRANSPOSE('Clash Matrix (Update to suit)'!N24:AM24)</f>
        <v>0</v>
      </c>
      <c r="B354" s="51" cm="1">
        <f t="array" ref="B354:B379">TRANSPOSE('Clash Matrix (Update to suit)'!N25:AM25)</f>
        <v>0</v>
      </c>
      <c r="C354" s="5" t="s">
        <v>114</v>
      </c>
      <c r="D354" s="5" t="str" cm="1">
        <f t="array" ref="D354:D379">TRANSPOSE('Clash Matrix (Update to suit)'!N1:AM1)</f>
        <v>ARC_Plumbing Fixtures</v>
      </c>
      <c r="E354" s="5" t="str">
        <f t="shared" ref="E354:E398" si="17">"NL-"&amp;B354&amp; "-"&amp; C354&amp;" vs "&amp;D354</f>
        <v>NL-0-ARC_Plumbing Fixtures vs ARC_Plumbing Fixtures</v>
      </c>
    </row>
    <row r="355" spans="1:5" x14ac:dyDescent="0.25">
      <c r="A355" s="51">
        <v>0</v>
      </c>
      <c r="B355" s="51">
        <v>0</v>
      </c>
      <c r="C355" s="5" t="s">
        <v>114</v>
      </c>
      <c r="D355" s="5" t="str">
        <v>ARC_SOG Floor Insulation</v>
      </c>
      <c r="E355" s="5" t="str">
        <f t="shared" si="17"/>
        <v>NL-0-ARC_Plumbing Fixtures vs ARC_SOG Floor Insulation</v>
      </c>
    </row>
    <row r="356" spans="1:5" x14ac:dyDescent="0.25">
      <c r="A356" s="51" t="str">
        <v>T3</v>
      </c>
      <c r="B356" s="51" t="str">
        <v>C50</v>
      </c>
      <c r="C356" s="5" t="s">
        <v>114</v>
      </c>
      <c r="D356" s="5" t="str">
        <v>STR_Seismic Elements</v>
      </c>
      <c r="E356" s="5" t="str">
        <f t="shared" si="17"/>
        <v>NL-C50-ARC_Plumbing Fixtures vs STR_Seismic Elements</v>
      </c>
    </row>
    <row r="357" spans="1:5" x14ac:dyDescent="0.25">
      <c r="A357" s="51" t="str">
        <v>T3</v>
      </c>
      <c r="B357" s="51" t="str">
        <v>C50</v>
      </c>
      <c r="C357" s="5" t="s">
        <v>114</v>
      </c>
      <c r="D357" s="5" t="str">
        <v>STR_Conc work Excl Floor Slab</v>
      </c>
      <c r="E357" s="5" t="str">
        <f t="shared" si="17"/>
        <v>NL-C50-ARC_Plumbing Fixtures vs STR_Conc work Excl Floor Slab</v>
      </c>
    </row>
    <row r="358" spans="1:5" x14ac:dyDescent="0.25">
      <c r="A358" s="51" t="str">
        <v>T3</v>
      </c>
      <c r="B358" s="51" t="str">
        <v>C50</v>
      </c>
      <c r="C358" s="5" t="s">
        <v>114</v>
      </c>
      <c r="D358" s="5" t="str">
        <v>STR_Steelwork (Bracing and Columns)</v>
      </c>
      <c r="E358" s="5" t="str">
        <f t="shared" si="17"/>
        <v>NL-C50-ARC_Plumbing Fixtures vs STR_Steelwork (Bracing and Columns)</v>
      </c>
    </row>
    <row r="359" spans="1:5" x14ac:dyDescent="0.25">
      <c r="A359" s="51">
        <v>0</v>
      </c>
      <c r="B359" s="51">
        <v>0</v>
      </c>
      <c r="C359" s="5" t="s">
        <v>114</v>
      </c>
      <c r="D359" s="5" t="str">
        <v>STR Floor</v>
      </c>
      <c r="E359" s="5" t="str">
        <f t="shared" si="17"/>
        <v>NL-0-ARC_Plumbing Fixtures vs STR Floor</v>
      </c>
    </row>
    <row r="360" spans="1:5" x14ac:dyDescent="0.25">
      <c r="A360" s="51" t="str">
        <v>T3</v>
      </c>
      <c r="B360" s="51" t="str">
        <v>C50</v>
      </c>
      <c r="C360" s="5" t="s">
        <v>114</v>
      </c>
      <c r="D360" s="5" t="str">
        <v>HYD_Uninsulated Pipes and Acc</v>
      </c>
      <c r="E360" s="5" t="str">
        <f t="shared" si="17"/>
        <v>NL-C50-ARC_Plumbing Fixtures vs HYD_Uninsulated Pipes and Acc</v>
      </c>
    </row>
    <row r="361" spans="1:5" x14ac:dyDescent="0.25">
      <c r="A361" s="51" t="str">
        <v>T3</v>
      </c>
      <c r="B361" s="51" t="str">
        <v>C50</v>
      </c>
      <c r="C361" s="5" t="s">
        <v>114</v>
      </c>
      <c r="D361" s="5" t="str">
        <v>HYD_Pipe Insulation</v>
      </c>
      <c r="E361" s="5" t="str">
        <f t="shared" si="17"/>
        <v>NL-C50-ARC_Plumbing Fixtures vs HYD_Pipe Insulation</v>
      </c>
    </row>
    <row r="362" spans="1:5" x14ac:dyDescent="0.25">
      <c r="A362" s="51" t="str">
        <v>T3</v>
      </c>
      <c r="B362" s="51" t="str">
        <v>C50</v>
      </c>
      <c r="C362" s="5" t="s">
        <v>114</v>
      </c>
      <c r="D362" s="5" t="str">
        <v>HYD_Uninsulated Hot and Cold Pipes and Acc</v>
      </c>
      <c r="E362" s="5" t="str">
        <f t="shared" si="17"/>
        <v>NL-C50-ARC_Plumbing Fixtures vs HYD_Uninsulated Hot and Cold Pipes and Acc</v>
      </c>
    </row>
    <row r="363" spans="1:5" x14ac:dyDescent="0.25">
      <c r="A363" s="51" t="str">
        <v>T3</v>
      </c>
      <c r="B363" s="51" t="str">
        <v>C50</v>
      </c>
      <c r="C363" s="5" t="s">
        <v>114</v>
      </c>
      <c r="D363" s="5" t="str">
        <v>HYD_Hot and Cold Insulation</v>
      </c>
      <c r="E363" s="5" t="str">
        <f t="shared" si="17"/>
        <v>NL-C50-ARC_Plumbing Fixtures vs HYD_Hot and Cold Insulation</v>
      </c>
    </row>
    <row r="364" spans="1:5" x14ac:dyDescent="0.25">
      <c r="A364" s="51" t="str">
        <v>T3</v>
      </c>
      <c r="B364" s="51" t="str">
        <v>C50</v>
      </c>
      <c r="C364" s="5" t="s">
        <v>114</v>
      </c>
      <c r="D364" s="5" t="str">
        <v>HYD_Plumbing Fixture</v>
      </c>
      <c r="E364" s="5" t="str">
        <f t="shared" si="17"/>
        <v>NL-C50-ARC_Plumbing Fixtures vs HYD_Plumbing Fixture</v>
      </c>
    </row>
    <row r="365" spans="1:5" x14ac:dyDescent="0.25">
      <c r="A365" s="51" t="str">
        <v>T3</v>
      </c>
      <c r="B365" s="51" t="str">
        <v>C50</v>
      </c>
      <c r="C365" s="5" t="s">
        <v>114</v>
      </c>
      <c r="D365" s="5" t="str">
        <v>MEC_Air Terminals</v>
      </c>
      <c r="E365" s="5" t="str">
        <f t="shared" si="17"/>
        <v>NL-C50-ARC_Plumbing Fixtures vs MEC_Air Terminals</v>
      </c>
    </row>
    <row r="366" spans="1:5" x14ac:dyDescent="0.25">
      <c r="A366" s="51" t="str">
        <v>T3</v>
      </c>
      <c r="B366" s="51" t="str">
        <v>C50</v>
      </c>
      <c r="C366" s="5" t="s">
        <v>114</v>
      </c>
      <c r="D366" s="5" t="str">
        <v>MEC_Uninsulated Duct and Acc</v>
      </c>
      <c r="E366" s="5" t="str">
        <f t="shared" si="17"/>
        <v>NL-C50-ARC_Plumbing Fixtures vs MEC_Uninsulated Duct and Acc</v>
      </c>
    </row>
    <row r="367" spans="1:5" x14ac:dyDescent="0.25">
      <c r="A367" s="51" t="str">
        <v>T3</v>
      </c>
      <c r="B367" s="51" t="str">
        <v>C50</v>
      </c>
      <c r="C367" s="5" t="s">
        <v>114</v>
      </c>
      <c r="D367" s="5" t="str">
        <v>MEC_Duct Insulation</v>
      </c>
      <c r="E367" s="5" t="str">
        <f t="shared" si="17"/>
        <v>NL-C50-ARC_Plumbing Fixtures vs MEC_Duct Insulation</v>
      </c>
    </row>
    <row r="368" spans="1:5" x14ac:dyDescent="0.25">
      <c r="A368" s="51" t="str">
        <v>T3</v>
      </c>
      <c r="B368" s="51" t="str">
        <v>C50</v>
      </c>
      <c r="C368" s="5" t="s">
        <v>114</v>
      </c>
      <c r="D368" s="5" t="str">
        <v>MEC_Pipe Insulation</v>
      </c>
      <c r="E368" s="5" t="str">
        <f t="shared" si="17"/>
        <v>NL-C50-ARC_Plumbing Fixtures vs MEC_Pipe Insulation</v>
      </c>
    </row>
    <row r="369" spans="1:5" x14ac:dyDescent="0.25">
      <c r="A369" s="51" t="str">
        <v>T3</v>
      </c>
      <c r="B369" s="51" t="str">
        <v>C50</v>
      </c>
      <c r="C369" s="5" t="s">
        <v>114</v>
      </c>
      <c r="D369" s="5" t="str">
        <v>MEC_Uninsulated Pipes and Acc</v>
      </c>
      <c r="E369" s="5" t="str">
        <f t="shared" si="17"/>
        <v>NL-C50-ARC_Plumbing Fixtures vs MEC_Uninsulated Pipes and Acc</v>
      </c>
    </row>
    <row r="370" spans="1:5" x14ac:dyDescent="0.25">
      <c r="A370" s="51" t="str">
        <v>T3</v>
      </c>
      <c r="B370" s="51" t="str">
        <v>C50</v>
      </c>
      <c r="C370" s="5" t="s">
        <v>114</v>
      </c>
      <c r="D370" s="5" t="str">
        <v>MEC_Uninulated Flexi duct</v>
      </c>
      <c r="E370" s="5" t="str">
        <f t="shared" si="17"/>
        <v>NL-C50-ARC_Plumbing Fixtures vs MEC_Uninulated Flexi duct</v>
      </c>
    </row>
    <row r="371" spans="1:5" x14ac:dyDescent="0.25">
      <c r="A371" s="51" t="str">
        <v>T3</v>
      </c>
      <c r="B371" s="51" t="str">
        <v>C50</v>
      </c>
      <c r="C371" s="5" t="s">
        <v>114</v>
      </c>
      <c r="D371" s="5" t="str">
        <v>MEC_Equipment</v>
      </c>
      <c r="E371" s="5" t="str">
        <f t="shared" si="17"/>
        <v>NL-C50-ARC_Plumbing Fixtures vs MEC_Equipment</v>
      </c>
    </row>
    <row r="372" spans="1:5" x14ac:dyDescent="0.25">
      <c r="A372" s="51" t="str">
        <v>T3</v>
      </c>
      <c r="B372" s="51" t="str">
        <v>C50</v>
      </c>
      <c r="C372" s="5" t="s">
        <v>114</v>
      </c>
      <c r="D372" s="5" t="str">
        <v>ELE_Cable Tray and Fittings</v>
      </c>
      <c r="E372" s="5" t="str">
        <f t="shared" si="17"/>
        <v>NL-C50-ARC_Plumbing Fixtures vs ELE_Cable Tray and Fittings</v>
      </c>
    </row>
    <row r="373" spans="1:5" x14ac:dyDescent="0.25">
      <c r="A373" s="51" t="str">
        <v>T3</v>
      </c>
      <c r="B373" s="51" t="str">
        <v>C50</v>
      </c>
      <c r="C373" s="5" t="s">
        <v>114</v>
      </c>
      <c r="D373" s="5" t="str">
        <v>ELE_Conduit*</v>
      </c>
      <c r="E373" s="5" t="str">
        <f t="shared" si="17"/>
        <v>NL-C50-ARC_Plumbing Fixtures vs ELE_Conduit*</v>
      </c>
    </row>
    <row r="374" spans="1:5" x14ac:dyDescent="0.25">
      <c r="A374" s="51" t="str">
        <v>T3</v>
      </c>
      <c r="B374" s="51" t="str">
        <v>C50</v>
      </c>
      <c r="C374" s="5" t="s">
        <v>114</v>
      </c>
      <c r="D374" s="5" t="str">
        <v>ELE_Electrical Equip.</v>
      </c>
      <c r="E374" s="5" t="str">
        <f t="shared" si="17"/>
        <v>NL-C50-ARC_Plumbing Fixtures vs ELE_Electrical Equip.</v>
      </c>
    </row>
    <row r="375" spans="1:5" x14ac:dyDescent="0.25">
      <c r="A375" s="51" t="str">
        <v>T3</v>
      </c>
      <c r="B375" s="51" t="str">
        <v>C50</v>
      </c>
      <c r="C375" s="5" t="s">
        <v>114</v>
      </c>
      <c r="D375" s="5" t="str">
        <v>ELE_Small Devices</v>
      </c>
      <c r="E375" s="5" t="str">
        <f t="shared" si="17"/>
        <v>NL-C50-ARC_Plumbing Fixtures vs ELE_Small Devices</v>
      </c>
    </row>
    <row r="376" spans="1:5" x14ac:dyDescent="0.25">
      <c r="A376" s="51" t="str">
        <v>T3</v>
      </c>
      <c r="B376" s="51" t="str">
        <v>C50</v>
      </c>
      <c r="C376" s="5" t="s">
        <v>114</v>
      </c>
      <c r="D376" s="5" t="str">
        <v>ELE_Services Lighting Fixtures</v>
      </c>
      <c r="E376" s="5" t="str">
        <f t="shared" si="17"/>
        <v>NL-C50-ARC_Plumbing Fixtures vs ELE_Services Lighting Fixtures</v>
      </c>
    </row>
    <row r="377" spans="1:5" x14ac:dyDescent="0.25">
      <c r="A377" s="51">
        <v>0</v>
      </c>
      <c r="B377" s="51">
        <v>0</v>
      </c>
      <c r="C377" s="5" t="s">
        <v>114</v>
      </c>
      <c r="D377" s="5" t="str">
        <v>FIR_Fire Pipes</v>
      </c>
      <c r="E377" s="5" t="str">
        <f t="shared" si="17"/>
        <v>NL-0-ARC_Plumbing Fixtures vs FIR_Fire Pipes</v>
      </c>
    </row>
    <row r="378" spans="1:5" x14ac:dyDescent="0.25">
      <c r="A378" s="51">
        <v>0</v>
      </c>
      <c r="B378" s="51">
        <v>0</v>
      </c>
      <c r="C378" s="5" t="s">
        <v>114</v>
      </c>
      <c r="D378" s="5" t="str">
        <v>FIR_Sprinklers Heads</v>
      </c>
      <c r="E378" s="5" t="str">
        <f t="shared" si="17"/>
        <v>NL-0-ARC_Plumbing Fixtures vs FIR_Sprinklers Heads</v>
      </c>
    </row>
    <row r="379" spans="1:5" x14ac:dyDescent="0.25">
      <c r="A379" s="51">
        <v>0</v>
      </c>
      <c r="B379" s="51">
        <v>0</v>
      </c>
      <c r="C379" s="5" t="s">
        <v>114</v>
      </c>
      <c r="D379" s="5" t="str">
        <v>FIR_Heat or Smoke Detectors</v>
      </c>
      <c r="E379" s="5" t="str">
        <f t="shared" si="17"/>
        <v>NL-0-ARC_Plumbing Fixtures vs FIR_Heat or Smoke Detectors</v>
      </c>
    </row>
    <row r="380" spans="1:5" x14ac:dyDescent="0.25">
      <c r="A380" s="51" cm="1">
        <f t="array" ref="A380:A404">TRANSPOSE('Clash Matrix (Update to suit)'!O26:AM26)</f>
        <v>0</v>
      </c>
      <c r="B380" s="51" cm="1">
        <f t="array" ref="B380:B404">TRANSPOSE('Clash Matrix (Update to suit)'!O27:AM27)</f>
        <v>0</v>
      </c>
      <c r="C380" s="5" t="s">
        <v>158</v>
      </c>
      <c r="D380" s="5" t="str" cm="1">
        <f t="array" ref="D380:D404">TRANSPOSE('Clash Matrix (Update to suit)'!O1:AM1)</f>
        <v>ARC_SOG Floor Insulation</v>
      </c>
      <c r="E380" s="5" t="str">
        <f t="shared" si="17"/>
        <v>NL-0-ARC_SOG Floor Insulation vs ARC_SOG Floor Insulation</v>
      </c>
    </row>
    <row r="381" spans="1:5" x14ac:dyDescent="0.25">
      <c r="A381" s="51">
        <v>0</v>
      </c>
      <c r="B381" s="51">
        <v>0</v>
      </c>
      <c r="C381" s="5" t="s">
        <v>158</v>
      </c>
      <c r="D381" s="5" t="str">
        <v>STR_Seismic Elements</v>
      </c>
      <c r="E381" s="5" t="str">
        <f t="shared" si="17"/>
        <v>NL-0-ARC_SOG Floor Insulation vs STR_Seismic Elements</v>
      </c>
    </row>
    <row r="382" spans="1:5" x14ac:dyDescent="0.25">
      <c r="A382" s="51">
        <v>0</v>
      </c>
      <c r="B382" s="51">
        <v>0</v>
      </c>
      <c r="C382" s="5" t="s">
        <v>158</v>
      </c>
      <c r="D382" s="5" t="str">
        <v>STR_Conc work Excl Floor Slab</v>
      </c>
      <c r="E382" s="5" t="str">
        <f t="shared" si="17"/>
        <v>NL-0-ARC_SOG Floor Insulation vs STR_Conc work Excl Floor Slab</v>
      </c>
    </row>
    <row r="383" spans="1:5" x14ac:dyDescent="0.25">
      <c r="A383" s="51">
        <v>0</v>
      </c>
      <c r="B383" s="51">
        <v>0</v>
      </c>
      <c r="C383" s="5" t="s">
        <v>158</v>
      </c>
      <c r="D383" s="5" t="str">
        <v>STR_Steelwork (Bracing and Columns)</v>
      </c>
      <c r="E383" s="5" t="str">
        <f t="shared" si="17"/>
        <v>NL-0-ARC_SOG Floor Insulation vs STR_Steelwork (Bracing and Columns)</v>
      </c>
    </row>
    <row r="384" spans="1:5" x14ac:dyDescent="0.25">
      <c r="A384" s="51">
        <v>0</v>
      </c>
      <c r="B384" s="51">
        <v>0</v>
      </c>
      <c r="C384" s="5" t="s">
        <v>158</v>
      </c>
      <c r="D384" s="5" t="str">
        <v>STR Floor</v>
      </c>
      <c r="E384" s="5" t="str">
        <f t="shared" si="17"/>
        <v>NL-0-ARC_SOG Floor Insulation vs STR Floor</v>
      </c>
    </row>
    <row r="385" spans="1:5" x14ac:dyDescent="0.25">
      <c r="A385" s="51" t="str">
        <v>T1</v>
      </c>
      <c r="B385" s="51" t="str">
        <v>HC</v>
      </c>
      <c r="C385" s="5" t="s">
        <v>158</v>
      </c>
      <c r="D385" s="5" t="str">
        <v>HYD_Uninsulated Pipes and Acc</v>
      </c>
      <c r="E385" s="5" t="str">
        <f t="shared" si="17"/>
        <v>NL-HC-ARC_SOG Floor Insulation vs HYD_Uninsulated Pipes and Acc</v>
      </c>
    </row>
    <row r="386" spans="1:5" x14ac:dyDescent="0.25">
      <c r="A386" s="51" t="str">
        <v>T1</v>
      </c>
      <c r="B386" s="51" t="str">
        <v>HC</v>
      </c>
      <c r="C386" s="5" t="s">
        <v>158</v>
      </c>
      <c r="D386" s="5" t="str">
        <v>HYD_Pipe Insulation</v>
      </c>
      <c r="E386" s="5" t="str">
        <f t="shared" si="17"/>
        <v>NL-HC-ARC_SOG Floor Insulation vs HYD_Pipe Insulation</v>
      </c>
    </row>
    <row r="387" spans="1:5" x14ac:dyDescent="0.25">
      <c r="A387" s="51" t="str">
        <v>T1</v>
      </c>
      <c r="B387" s="51" t="str">
        <v>HC</v>
      </c>
      <c r="C387" s="5" t="s">
        <v>158</v>
      </c>
      <c r="D387" s="5" t="str">
        <v>HYD_Uninsulated Hot and Cold Pipes and Acc</v>
      </c>
      <c r="E387" s="5" t="str">
        <f t="shared" si="17"/>
        <v>NL-HC-ARC_SOG Floor Insulation vs HYD_Uninsulated Hot and Cold Pipes and Acc</v>
      </c>
    </row>
    <row r="388" spans="1:5" x14ac:dyDescent="0.25">
      <c r="A388" s="51" t="str">
        <v>T1</v>
      </c>
      <c r="B388" s="51" t="str">
        <v>HC</v>
      </c>
      <c r="C388" s="5" t="s">
        <v>158</v>
      </c>
      <c r="D388" s="5" t="str">
        <v>HYD_Hot and Cold Insulation</v>
      </c>
      <c r="E388" s="5" t="str">
        <f t="shared" si="17"/>
        <v>NL-HC-ARC_SOG Floor Insulation vs HYD_Hot and Cold Insulation</v>
      </c>
    </row>
    <row r="389" spans="1:5" x14ac:dyDescent="0.25">
      <c r="A389" s="51" t="str">
        <v>T1</v>
      </c>
      <c r="B389" s="51" t="str">
        <v>HC</v>
      </c>
      <c r="C389" s="5" t="s">
        <v>158</v>
      </c>
      <c r="D389" s="5" t="str">
        <v>HYD_Plumbing Fixture</v>
      </c>
      <c r="E389" s="5" t="str">
        <f t="shared" si="17"/>
        <v>NL-HC-ARC_SOG Floor Insulation vs HYD_Plumbing Fixture</v>
      </c>
    </row>
    <row r="390" spans="1:5" x14ac:dyDescent="0.25">
      <c r="A390" s="51" t="str">
        <v>T1</v>
      </c>
      <c r="B390" s="51" t="str">
        <v>HC</v>
      </c>
      <c r="C390" s="5" t="s">
        <v>158</v>
      </c>
      <c r="D390" s="5" t="str">
        <v>MEC_Air Terminals</v>
      </c>
      <c r="E390" s="5" t="str">
        <f t="shared" si="17"/>
        <v>NL-HC-ARC_SOG Floor Insulation vs MEC_Air Terminals</v>
      </c>
    </row>
    <row r="391" spans="1:5" x14ac:dyDescent="0.25">
      <c r="A391" s="51" t="str">
        <v>T1</v>
      </c>
      <c r="B391" s="51" t="str">
        <v>HC</v>
      </c>
      <c r="C391" s="5" t="s">
        <v>158</v>
      </c>
      <c r="D391" s="5" t="str">
        <v>MEC_Uninsulated Duct and Acc</v>
      </c>
      <c r="E391" s="5" t="str">
        <f t="shared" si="17"/>
        <v>NL-HC-ARC_SOG Floor Insulation vs MEC_Uninsulated Duct and Acc</v>
      </c>
    </row>
    <row r="392" spans="1:5" x14ac:dyDescent="0.25">
      <c r="A392" s="51" t="str">
        <v>T1</v>
      </c>
      <c r="B392" s="51" t="str">
        <v>HC</v>
      </c>
      <c r="C392" s="5" t="s">
        <v>158</v>
      </c>
      <c r="D392" s="5" t="str">
        <v>MEC_Duct Insulation</v>
      </c>
      <c r="E392" s="5" t="str">
        <f t="shared" si="17"/>
        <v>NL-HC-ARC_SOG Floor Insulation vs MEC_Duct Insulation</v>
      </c>
    </row>
    <row r="393" spans="1:5" x14ac:dyDescent="0.25">
      <c r="A393" s="51" t="str">
        <v>T1</v>
      </c>
      <c r="B393" s="51" t="str">
        <v>HC</v>
      </c>
      <c r="C393" s="5" t="s">
        <v>158</v>
      </c>
      <c r="D393" s="5" t="str">
        <v>MEC_Pipe Insulation</v>
      </c>
      <c r="E393" s="5" t="str">
        <f t="shared" si="17"/>
        <v>NL-HC-ARC_SOG Floor Insulation vs MEC_Pipe Insulation</v>
      </c>
    </row>
    <row r="394" spans="1:5" x14ac:dyDescent="0.25">
      <c r="A394" s="51" t="str">
        <v>T1</v>
      </c>
      <c r="B394" s="51" t="str">
        <v>HC</v>
      </c>
      <c r="C394" s="5" t="s">
        <v>158</v>
      </c>
      <c r="D394" s="5" t="str">
        <v>MEC_Uninsulated Pipes and Acc</v>
      </c>
      <c r="E394" s="5" t="str">
        <f t="shared" si="17"/>
        <v>NL-HC-ARC_SOG Floor Insulation vs MEC_Uninsulated Pipes and Acc</v>
      </c>
    </row>
    <row r="395" spans="1:5" x14ac:dyDescent="0.25">
      <c r="A395" s="51" t="str">
        <v>T1</v>
      </c>
      <c r="B395" s="51" t="str">
        <v>HC</v>
      </c>
      <c r="C395" s="5" t="s">
        <v>158</v>
      </c>
      <c r="D395" s="5" t="str">
        <v>MEC_Uninulated Flexi duct</v>
      </c>
      <c r="E395" s="5" t="str">
        <f t="shared" si="17"/>
        <v>NL-HC-ARC_SOG Floor Insulation vs MEC_Uninulated Flexi duct</v>
      </c>
    </row>
    <row r="396" spans="1:5" x14ac:dyDescent="0.25">
      <c r="A396" s="51" t="str">
        <v>T1</v>
      </c>
      <c r="B396" s="51" t="str">
        <v>HC</v>
      </c>
      <c r="C396" s="5" t="s">
        <v>158</v>
      </c>
      <c r="D396" s="5" t="str">
        <v>MEC_Equipment</v>
      </c>
      <c r="E396" s="5" t="str">
        <f t="shared" si="17"/>
        <v>NL-HC-ARC_SOG Floor Insulation vs MEC_Equipment</v>
      </c>
    </row>
    <row r="397" spans="1:5" x14ac:dyDescent="0.25">
      <c r="A397" s="51" t="str">
        <v>T1</v>
      </c>
      <c r="B397" s="51" t="str">
        <v>HC</v>
      </c>
      <c r="C397" s="5" t="s">
        <v>158</v>
      </c>
      <c r="D397" s="5" t="str">
        <v>ELE_Cable Tray and Fittings</v>
      </c>
      <c r="E397" s="5" t="str">
        <f t="shared" si="17"/>
        <v>NL-HC-ARC_SOG Floor Insulation vs ELE_Cable Tray and Fittings</v>
      </c>
    </row>
    <row r="398" spans="1:5" x14ac:dyDescent="0.25">
      <c r="A398" s="51" t="str">
        <v>T1</v>
      </c>
      <c r="B398" s="51" t="str">
        <v>HC</v>
      </c>
      <c r="C398" s="5" t="s">
        <v>158</v>
      </c>
      <c r="D398" s="5" t="str">
        <v>ELE_Conduit*</v>
      </c>
      <c r="E398" s="5" t="str">
        <f t="shared" si="17"/>
        <v>NL-HC-ARC_SOG Floor Insulation vs ELE_Conduit*</v>
      </c>
    </row>
    <row r="399" spans="1:5" x14ac:dyDescent="0.25">
      <c r="A399" s="51" t="str">
        <v>T1</v>
      </c>
      <c r="B399" s="51" t="str">
        <v>HC</v>
      </c>
      <c r="C399" s="5" t="s">
        <v>158</v>
      </c>
      <c r="D399" s="5" t="str">
        <v>ELE_Electrical Equip.</v>
      </c>
      <c r="E399" s="5" t="str">
        <f t="shared" ref="E399:E404" si="18">"NL-"&amp;B399&amp; "-"&amp; C399&amp;" vs "&amp;D399</f>
        <v>NL-HC-ARC_SOG Floor Insulation vs ELE_Electrical Equip.</v>
      </c>
    </row>
    <row r="400" spans="1:5" x14ac:dyDescent="0.25">
      <c r="A400" s="51">
        <v>0</v>
      </c>
      <c r="B400" s="51">
        <v>0</v>
      </c>
      <c r="C400" s="5" t="s">
        <v>158</v>
      </c>
      <c r="D400" s="5" t="str">
        <v>ELE_Small Devices</v>
      </c>
      <c r="E400" s="5" t="str">
        <f t="shared" si="18"/>
        <v>NL-0-ARC_SOG Floor Insulation vs ELE_Small Devices</v>
      </c>
    </row>
    <row r="401" spans="1:5" x14ac:dyDescent="0.25">
      <c r="A401" s="51">
        <v>0</v>
      </c>
      <c r="B401" s="51">
        <v>0</v>
      </c>
      <c r="C401" s="5" t="s">
        <v>158</v>
      </c>
      <c r="D401" s="5" t="str">
        <v>ELE_Services Lighting Fixtures</v>
      </c>
      <c r="E401" s="5" t="str">
        <f t="shared" si="18"/>
        <v>NL-0-ARC_SOG Floor Insulation vs ELE_Services Lighting Fixtures</v>
      </c>
    </row>
    <row r="402" spans="1:5" x14ac:dyDescent="0.25">
      <c r="A402" s="51" t="str">
        <v>T1</v>
      </c>
      <c r="B402" s="51" t="str">
        <v>HC</v>
      </c>
      <c r="C402" s="5" t="s">
        <v>158</v>
      </c>
      <c r="D402" s="5" t="str">
        <v>FIR_Fire Pipes</v>
      </c>
      <c r="E402" s="5" t="str">
        <f t="shared" si="18"/>
        <v>NL-HC-ARC_SOG Floor Insulation vs FIR_Fire Pipes</v>
      </c>
    </row>
    <row r="403" spans="1:5" x14ac:dyDescent="0.25">
      <c r="A403" s="51">
        <v>0</v>
      </c>
      <c r="B403" s="51">
        <v>0</v>
      </c>
      <c r="C403" s="5" t="s">
        <v>158</v>
      </c>
      <c r="D403" s="5" t="str">
        <v>FIR_Sprinklers Heads</v>
      </c>
      <c r="E403" s="5" t="str">
        <f t="shared" si="18"/>
        <v>NL-0-ARC_SOG Floor Insulation vs FIR_Sprinklers Heads</v>
      </c>
    </row>
    <row r="404" spans="1:5" x14ac:dyDescent="0.25">
      <c r="A404" s="51">
        <v>0</v>
      </c>
      <c r="B404" s="51">
        <v>0</v>
      </c>
      <c r="C404" s="5" t="s">
        <v>158</v>
      </c>
      <c r="D404" s="5" t="str">
        <v>FIR_Heat or Smoke Detectors</v>
      </c>
      <c r="E404" s="5" t="str">
        <f t="shared" si="18"/>
        <v>NL-0-ARC_SOG Floor Insulation vs FIR_Heat or Smoke Detectors</v>
      </c>
    </row>
    <row r="405" spans="1:5" x14ac:dyDescent="0.25">
      <c r="A405" s="51" cm="1">
        <f t="array" ref="A405:A428">TRANSPOSE('Clash Matrix (Update to suit)'!P28:AM28)</f>
        <v>0</v>
      </c>
      <c r="B405" s="51" cm="1">
        <f t="array" ref="B405:B428">TRANSPOSE('Clash Matrix (Update to suit)'!P29:AM29)</f>
        <v>0</v>
      </c>
      <c r="C405" s="5" t="s">
        <v>102</v>
      </c>
      <c r="D405" s="5" t="str" cm="1">
        <f t="array" ref="D405:D428">TRANSPOSE('Clash Matrix (Update to suit)'!P1:AM1)</f>
        <v>STR_Seismic Elements</v>
      </c>
      <c r="E405" s="5" t="str">
        <f t="shared" ref="E405:E436" si="19">"NL-"&amp;B405&amp; "-"&amp; C405&amp;" vs "&amp;D405</f>
        <v>NL-0-STR_Seismic Elements vs STR_Seismic Elements</v>
      </c>
    </row>
    <row r="406" spans="1:5" x14ac:dyDescent="0.25">
      <c r="A406" s="51" t="str">
        <v>T2</v>
      </c>
      <c r="B406" s="51" t="str">
        <v>C50</v>
      </c>
      <c r="C406" s="5" t="s">
        <v>102</v>
      </c>
      <c r="D406" s="5" t="str">
        <v>STR_Conc work Excl Floor Slab</v>
      </c>
      <c r="E406" s="5" t="str">
        <f t="shared" si="19"/>
        <v>NL-C50-STR_Seismic Elements vs STR_Conc work Excl Floor Slab</v>
      </c>
    </row>
    <row r="407" spans="1:5" x14ac:dyDescent="0.25">
      <c r="A407" s="51" t="str">
        <v>T2</v>
      </c>
      <c r="B407" s="51" t="str">
        <v>C50</v>
      </c>
      <c r="C407" s="5" t="s">
        <v>102</v>
      </c>
      <c r="D407" s="5" t="str">
        <v>STR_Steelwork (Bracing and Columns)</v>
      </c>
      <c r="E407" s="5" t="str">
        <f t="shared" si="19"/>
        <v>NL-C50-STR_Seismic Elements vs STR_Steelwork (Bracing and Columns)</v>
      </c>
    </row>
    <row r="408" spans="1:5" x14ac:dyDescent="0.25">
      <c r="A408" s="51" t="str">
        <v>T2</v>
      </c>
      <c r="B408" s="51" t="str">
        <v>C50</v>
      </c>
      <c r="C408" s="5" t="s">
        <v>102</v>
      </c>
      <c r="D408" s="5" t="str">
        <v>STR Floor</v>
      </c>
      <c r="E408" s="5" t="str">
        <f t="shared" si="19"/>
        <v>NL-C50-STR_Seismic Elements vs STR Floor</v>
      </c>
    </row>
    <row r="409" spans="1:5" x14ac:dyDescent="0.25">
      <c r="A409" s="51" t="str">
        <v>T2</v>
      </c>
      <c r="B409" s="51" t="str">
        <v>C50</v>
      </c>
      <c r="C409" s="5" t="s">
        <v>102</v>
      </c>
      <c r="D409" s="5" t="str">
        <v>HYD_Uninsulated Pipes and Acc</v>
      </c>
      <c r="E409" s="5" t="str">
        <f t="shared" si="19"/>
        <v>NL-C50-STR_Seismic Elements vs HYD_Uninsulated Pipes and Acc</v>
      </c>
    </row>
    <row r="410" spans="1:5" x14ac:dyDescent="0.25">
      <c r="A410" s="51" t="str">
        <v>T2</v>
      </c>
      <c r="B410" s="51" t="str">
        <v>C50</v>
      </c>
      <c r="C410" s="5" t="s">
        <v>102</v>
      </c>
      <c r="D410" s="5" t="str">
        <v>HYD_Pipe Insulation</v>
      </c>
      <c r="E410" s="5" t="str">
        <f t="shared" si="19"/>
        <v>NL-C50-STR_Seismic Elements vs HYD_Pipe Insulation</v>
      </c>
    </row>
    <row r="411" spans="1:5" x14ac:dyDescent="0.25">
      <c r="A411" s="51" t="str">
        <v>T2</v>
      </c>
      <c r="B411" s="51" t="str">
        <v>C50</v>
      </c>
      <c r="C411" s="5" t="s">
        <v>102</v>
      </c>
      <c r="D411" s="5" t="str">
        <v>HYD_Uninsulated Hot and Cold Pipes and Acc</v>
      </c>
      <c r="E411" s="5" t="str">
        <f t="shared" si="19"/>
        <v>NL-C50-STR_Seismic Elements vs HYD_Uninsulated Hot and Cold Pipes and Acc</v>
      </c>
    </row>
    <row r="412" spans="1:5" x14ac:dyDescent="0.25">
      <c r="A412" s="51" t="str">
        <v>T2</v>
      </c>
      <c r="B412" s="51" t="str">
        <v>C50</v>
      </c>
      <c r="C412" s="5" t="s">
        <v>102</v>
      </c>
      <c r="D412" s="5" t="str">
        <v>HYD_Hot and Cold Insulation</v>
      </c>
      <c r="E412" s="5" t="str">
        <f t="shared" si="19"/>
        <v>NL-C50-STR_Seismic Elements vs HYD_Hot and Cold Insulation</v>
      </c>
    </row>
    <row r="413" spans="1:5" x14ac:dyDescent="0.25">
      <c r="A413" s="51" t="str">
        <v>T2</v>
      </c>
      <c r="B413" s="51" t="str">
        <v>C50</v>
      </c>
      <c r="C413" s="5" t="s">
        <v>102</v>
      </c>
      <c r="D413" s="5" t="str">
        <v>HYD_Plumbing Fixture</v>
      </c>
      <c r="E413" s="5" t="str">
        <f t="shared" si="19"/>
        <v>NL-C50-STR_Seismic Elements vs HYD_Plumbing Fixture</v>
      </c>
    </row>
    <row r="414" spans="1:5" x14ac:dyDescent="0.25">
      <c r="A414" s="51" t="str">
        <v>T2</v>
      </c>
      <c r="B414" s="51" t="str">
        <v>C50</v>
      </c>
      <c r="C414" s="5" t="s">
        <v>102</v>
      </c>
      <c r="D414" s="5" t="str">
        <v>MEC_Air Terminals</v>
      </c>
      <c r="E414" s="5" t="str">
        <f t="shared" si="19"/>
        <v>NL-C50-STR_Seismic Elements vs MEC_Air Terminals</v>
      </c>
    </row>
    <row r="415" spans="1:5" x14ac:dyDescent="0.25">
      <c r="A415" s="51" t="str">
        <v>T2</v>
      </c>
      <c r="B415" s="51" t="str">
        <v>C50</v>
      </c>
      <c r="C415" s="5" t="s">
        <v>102</v>
      </c>
      <c r="D415" s="5" t="str">
        <v>MEC_Uninsulated Duct and Acc</v>
      </c>
      <c r="E415" s="5" t="str">
        <f t="shared" si="19"/>
        <v>NL-C50-STR_Seismic Elements vs MEC_Uninsulated Duct and Acc</v>
      </c>
    </row>
    <row r="416" spans="1:5" x14ac:dyDescent="0.25">
      <c r="A416" s="51" t="str">
        <v>T2</v>
      </c>
      <c r="B416" s="51" t="str">
        <v>C50</v>
      </c>
      <c r="C416" s="5" t="s">
        <v>102</v>
      </c>
      <c r="D416" s="5" t="str">
        <v>MEC_Duct Insulation</v>
      </c>
      <c r="E416" s="5" t="str">
        <f t="shared" si="19"/>
        <v>NL-C50-STR_Seismic Elements vs MEC_Duct Insulation</v>
      </c>
    </row>
    <row r="417" spans="1:5" x14ac:dyDescent="0.25">
      <c r="A417" s="51" t="str">
        <v>T2</v>
      </c>
      <c r="B417" s="51" t="str">
        <v>C50</v>
      </c>
      <c r="C417" s="5" t="s">
        <v>102</v>
      </c>
      <c r="D417" s="5" t="str">
        <v>MEC_Pipe Insulation</v>
      </c>
      <c r="E417" s="5" t="str">
        <f t="shared" si="19"/>
        <v>NL-C50-STR_Seismic Elements vs MEC_Pipe Insulation</v>
      </c>
    </row>
    <row r="418" spans="1:5" x14ac:dyDescent="0.25">
      <c r="A418" s="51" t="str">
        <v>T2</v>
      </c>
      <c r="B418" s="51" t="str">
        <v>C50</v>
      </c>
      <c r="C418" s="5" t="s">
        <v>102</v>
      </c>
      <c r="D418" s="5" t="str">
        <v>MEC_Uninsulated Pipes and Acc</v>
      </c>
      <c r="E418" s="5" t="str">
        <f t="shared" si="19"/>
        <v>NL-C50-STR_Seismic Elements vs MEC_Uninsulated Pipes and Acc</v>
      </c>
    </row>
    <row r="419" spans="1:5" x14ac:dyDescent="0.25">
      <c r="A419" s="51" t="str">
        <v>T2</v>
      </c>
      <c r="B419" s="51" t="str">
        <v>C50</v>
      </c>
      <c r="C419" s="5" t="s">
        <v>102</v>
      </c>
      <c r="D419" s="5" t="str">
        <v>MEC_Uninulated Flexi duct</v>
      </c>
      <c r="E419" s="5" t="str">
        <f t="shared" si="19"/>
        <v>NL-C50-STR_Seismic Elements vs MEC_Uninulated Flexi duct</v>
      </c>
    </row>
    <row r="420" spans="1:5" x14ac:dyDescent="0.25">
      <c r="A420" s="51" t="str">
        <v>T2</v>
      </c>
      <c r="B420" s="51" t="str">
        <v>C50</v>
      </c>
      <c r="C420" s="5" t="s">
        <v>102</v>
      </c>
      <c r="D420" s="5" t="str">
        <v>MEC_Equipment</v>
      </c>
      <c r="E420" s="5" t="str">
        <f t="shared" si="19"/>
        <v>NL-C50-STR_Seismic Elements vs MEC_Equipment</v>
      </c>
    </row>
    <row r="421" spans="1:5" x14ac:dyDescent="0.25">
      <c r="A421" s="51" t="str">
        <v>T2</v>
      </c>
      <c r="B421" s="51" t="str">
        <v>C50</v>
      </c>
      <c r="C421" s="5" t="s">
        <v>102</v>
      </c>
      <c r="D421" s="5" t="str">
        <v>ELE_Cable Tray and Fittings</v>
      </c>
      <c r="E421" s="5" t="str">
        <f t="shared" si="19"/>
        <v>NL-C50-STR_Seismic Elements vs ELE_Cable Tray and Fittings</v>
      </c>
    </row>
    <row r="422" spans="1:5" x14ac:dyDescent="0.25">
      <c r="A422" s="51" t="str">
        <v>T2</v>
      </c>
      <c r="B422" s="51" t="str">
        <v>C50</v>
      </c>
      <c r="C422" s="5" t="s">
        <v>102</v>
      </c>
      <c r="D422" s="5" t="str">
        <v>ELE_Conduit*</v>
      </c>
      <c r="E422" s="5" t="str">
        <f t="shared" si="19"/>
        <v>NL-C50-STR_Seismic Elements vs ELE_Conduit*</v>
      </c>
    </row>
    <row r="423" spans="1:5" x14ac:dyDescent="0.25">
      <c r="A423" s="51" t="str">
        <v>T2</v>
      </c>
      <c r="B423" s="51" t="str">
        <v>C50</v>
      </c>
      <c r="C423" s="5" t="s">
        <v>102</v>
      </c>
      <c r="D423" s="5" t="str">
        <v>ELE_Electrical Equip.</v>
      </c>
      <c r="E423" s="5" t="str">
        <f t="shared" si="19"/>
        <v>NL-C50-STR_Seismic Elements vs ELE_Electrical Equip.</v>
      </c>
    </row>
    <row r="424" spans="1:5" x14ac:dyDescent="0.25">
      <c r="A424" s="51" t="str">
        <v>T2</v>
      </c>
      <c r="B424" s="51" t="str">
        <v>C50</v>
      </c>
      <c r="C424" s="5" t="s">
        <v>102</v>
      </c>
      <c r="D424" s="5" t="str">
        <v>ELE_Small Devices</v>
      </c>
      <c r="E424" s="5" t="str">
        <f t="shared" si="19"/>
        <v>NL-C50-STR_Seismic Elements vs ELE_Small Devices</v>
      </c>
    </row>
    <row r="425" spans="1:5" x14ac:dyDescent="0.25">
      <c r="A425" s="51" t="str">
        <v>T2</v>
      </c>
      <c r="B425" s="51" t="str">
        <v>C50</v>
      </c>
      <c r="C425" s="5" t="s">
        <v>102</v>
      </c>
      <c r="D425" s="5" t="str">
        <v>ELE_Services Lighting Fixtures</v>
      </c>
      <c r="E425" s="5" t="str">
        <f t="shared" si="19"/>
        <v>NL-C50-STR_Seismic Elements vs ELE_Services Lighting Fixtures</v>
      </c>
    </row>
    <row r="426" spans="1:5" x14ac:dyDescent="0.25">
      <c r="A426" s="51" t="str">
        <v>T2</v>
      </c>
      <c r="B426" s="51" t="str">
        <v>C50</v>
      </c>
      <c r="C426" s="5" t="s">
        <v>102</v>
      </c>
      <c r="D426" s="5" t="str">
        <v>FIR_Fire Pipes</v>
      </c>
      <c r="E426" s="5" t="str">
        <f t="shared" si="19"/>
        <v>NL-C50-STR_Seismic Elements vs FIR_Fire Pipes</v>
      </c>
    </row>
    <row r="427" spans="1:5" x14ac:dyDescent="0.25">
      <c r="A427" s="51">
        <v>0</v>
      </c>
      <c r="B427" s="51">
        <v>0</v>
      </c>
      <c r="C427" s="5" t="s">
        <v>102</v>
      </c>
      <c r="D427" s="5" t="str">
        <v>FIR_Sprinklers Heads</v>
      </c>
      <c r="E427" s="5" t="str">
        <f t="shared" si="19"/>
        <v>NL-0-STR_Seismic Elements vs FIR_Sprinklers Heads</v>
      </c>
    </row>
    <row r="428" spans="1:5" x14ac:dyDescent="0.25">
      <c r="A428" s="51">
        <v>0</v>
      </c>
      <c r="B428" s="51">
        <v>0</v>
      </c>
      <c r="C428" s="5" t="s">
        <v>102</v>
      </c>
      <c r="D428" s="5" t="str">
        <v>FIR_Heat or Smoke Detectors</v>
      </c>
      <c r="E428" s="5" t="str">
        <f t="shared" si="19"/>
        <v>NL-0-STR_Seismic Elements vs FIR_Heat or Smoke Detectors</v>
      </c>
    </row>
    <row r="429" spans="1:5" x14ac:dyDescent="0.25">
      <c r="A429" s="51" cm="1">
        <f t="array" ref="A429:A451">TRANSPOSE('Clash Matrix (Update to suit)'!Q30:AM30)</f>
        <v>0</v>
      </c>
      <c r="B429" s="51" cm="1">
        <f t="array" ref="B429:B451">TRANSPOSE('Clash Matrix (Update to suit)'!Q31:AM31)</f>
        <v>0</v>
      </c>
      <c r="C429" s="5" t="str">
        <f>'Item Categories'!C16</f>
        <v>STR_Conc work Excl Floor Slab</v>
      </c>
      <c r="D429" s="5" t="str" cm="1">
        <f t="array" ref="D429:D451">TRANSPOSE('Clash Matrix (Update to suit)'!Q1:AM1)</f>
        <v>STR_Conc work Excl Floor Slab</v>
      </c>
      <c r="E429" s="5" t="str">
        <f t="shared" si="19"/>
        <v>NL-0-STR_Conc work Excl Floor Slab vs STR_Conc work Excl Floor Slab</v>
      </c>
    </row>
    <row r="430" spans="1:5" x14ac:dyDescent="0.25">
      <c r="A430" s="51">
        <v>0</v>
      </c>
      <c r="B430" s="51">
        <v>0</v>
      </c>
      <c r="C430" s="5" t="str">
        <f>'Item Categories'!C17</f>
        <v>STR_Steelwork (Bracing and Columns)</v>
      </c>
      <c r="D430" s="5" t="str">
        <v>STR_Steelwork (Bracing and Columns)</v>
      </c>
      <c r="E430" s="5" t="str">
        <f t="shared" si="19"/>
        <v>NL-0-STR_Steelwork (Bracing and Columns) vs STR_Steelwork (Bracing and Columns)</v>
      </c>
    </row>
    <row r="431" spans="1:5" x14ac:dyDescent="0.25">
      <c r="A431" s="51">
        <v>0</v>
      </c>
      <c r="B431" s="51">
        <v>0</v>
      </c>
      <c r="C431" s="5" t="s">
        <v>103</v>
      </c>
      <c r="D431" s="5" t="str">
        <v>STR Floor</v>
      </c>
      <c r="E431" s="5" t="str">
        <f t="shared" si="19"/>
        <v>NL-0-STR_Conc work Excl Floor Slab vs STR Floor</v>
      </c>
    </row>
    <row r="432" spans="1:5" x14ac:dyDescent="0.25">
      <c r="A432" s="51" t="str">
        <v>T1</v>
      </c>
      <c r="B432" s="51" t="str">
        <v>C50</v>
      </c>
      <c r="C432" s="5" t="s">
        <v>103</v>
      </c>
      <c r="D432" s="5" t="str">
        <v>HYD_Uninsulated Pipes and Acc</v>
      </c>
      <c r="E432" s="5" t="str">
        <f t="shared" si="19"/>
        <v>NL-C50-STR_Conc work Excl Floor Slab vs HYD_Uninsulated Pipes and Acc</v>
      </c>
    </row>
    <row r="433" spans="1:5" x14ac:dyDescent="0.25">
      <c r="A433" s="51" t="str">
        <v>T1</v>
      </c>
      <c r="B433" s="51" t="str">
        <v>C50</v>
      </c>
      <c r="C433" s="5" t="s">
        <v>103</v>
      </c>
      <c r="D433" s="5" t="str">
        <v>HYD_Pipe Insulation</v>
      </c>
      <c r="E433" s="5" t="str">
        <f t="shared" si="19"/>
        <v>NL-C50-STR_Conc work Excl Floor Slab vs HYD_Pipe Insulation</v>
      </c>
    </row>
    <row r="434" spans="1:5" x14ac:dyDescent="0.25">
      <c r="A434" s="51" t="str">
        <v>T1</v>
      </c>
      <c r="B434" s="51" t="str">
        <v>C50</v>
      </c>
      <c r="C434" s="5" t="s">
        <v>103</v>
      </c>
      <c r="D434" s="5" t="str">
        <v>HYD_Uninsulated Hot and Cold Pipes and Acc</v>
      </c>
      <c r="E434" s="5" t="str">
        <f t="shared" si="19"/>
        <v>NL-C50-STR_Conc work Excl Floor Slab vs HYD_Uninsulated Hot and Cold Pipes and Acc</v>
      </c>
    </row>
    <row r="435" spans="1:5" x14ac:dyDescent="0.25">
      <c r="A435" s="51" t="str">
        <v>T1</v>
      </c>
      <c r="B435" s="51" t="str">
        <v>C50</v>
      </c>
      <c r="C435" s="5" t="s">
        <v>103</v>
      </c>
      <c r="D435" s="5" t="str">
        <v>HYD_Hot and Cold Insulation</v>
      </c>
      <c r="E435" s="5" t="str">
        <f t="shared" si="19"/>
        <v>NL-C50-STR_Conc work Excl Floor Slab vs HYD_Hot and Cold Insulation</v>
      </c>
    </row>
    <row r="436" spans="1:5" x14ac:dyDescent="0.25">
      <c r="A436" s="51" t="str">
        <v>T1</v>
      </c>
      <c r="B436" s="51" t="str">
        <v>C50</v>
      </c>
      <c r="C436" s="5" t="s">
        <v>103</v>
      </c>
      <c r="D436" s="5" t="str">
        <v>HYD_Plumbing Fixture</v>
      </c>
      <c r="E436" s="5" t="str">
        <f t="shared" si="19"/>
        <v>NL-C50-STR_Conc work Excl Floor Slab vs HYD_Plumbing Fixture</v>
      </c>
    </row>
    <row r="437" spans="1:5" x14ac:dyDescent="0.25">
      <c r="A437" s="51" t="str">
        <v>T1</v>
      </c>
      <c r="B437" s="51" t="str">
        <v>C50</v>
      </c>
      <c r="C437" s="5" t="s">
        <v>103</v>
      </c>
      <c r="D437" s="5" t="str">
        <v>MEC_Air Terminals</v>
      </c>
      <c r="E437" s="5" t="str">
        <f t="shared" ref="E437:E465" si="20">"NL-"&amp;B437&amp; "-"&amp; C437&amp;" vs "&amp;D437</f>
        <v>NL-C50-STR_Conc work Excl Floor Slab vs MEC_Air Terminals</v>
      </c>
    </row>
    <row r="438" spans="1:5" x14ac:dyDescent="0.25">
      <c r="A438" s="51" t="str">
        <v>T1</v>
      </c>
      <c r="B438" s="51" t="str">
        <v>C50</v>
      </c>
      <c r="C438" s="5" t="s">
        <v>103</v>
      </c>
      <c r="D438" s="5" t="str">
        <v>MEC_Uninsulated Duct and Acc</v>
      </c>
      <c r="E438" s="5" t="str">
        <f t="shared" si="20"/>
        <v>NL-C50-STR_Conc work Excl Floor Slab vs MEC_Uninsulated Duct and Acc</v>
      </c>
    </row>
    <row r="439" spans="1:5" x14ac:dyDescent="0.25">
      <c r="A439" s="51" t="str">
        <v>T1</v>
      </c>
      <c r="B439" s="51" t="str">
        <v>C50</v>
      </c>
      <c r="C439" s="5" t="s">
        <v>103</v>
      </c>
      <c r="D439" s="5" t="str">
        <v>MEC_Duct Insulation</v>
      </c>
      <c r="E439" s="5" t="str">
        <f t="shared" si="20"/>
        <v>NL-C50-STR_Conc work Excl Floor Slab vs MEC_Duct Insulation</v>
      </c>
    </row>
    <row r="440" spans="1:5" x14ac:dyDescent="0.25">
      <c r="A440" s="51" t="str">
        <v>T1</v>
      </c>
      <c r="B440" s="51" t="str">
        <v>C50</v>
      </c>
      <c r="C440" s="5" t="s">
        <v>103</v>
      </c>
      <c r="D440" s="5" t="str">
        <v>MEC_Pipe Insulation</v>
      </c>
      <c r="E440" s="5" t="str">
        <f t="shared" si="20"/>
        <v>NL-C50-STR_Conc work Excl Floor Slab vs MEC_Pipe Insulation</v>
      </c>
    </row>
    <row r="441" spans="1:5" x14ac:dyDescent="0.25">
      <c r="A441" s="51" t="str">
        <v>T1</v>
      </c>
      <c r="B441" s="51" t="str">
        <v>C50</v>
      </c>
      <c r="C441" s="5" t="s">
        <v>103</v>
      </c>
      <c r="D441" s="5" t="str">
        <v>MEC_Uninsulated Pipes and Acc</v>
      </c>
      <c r="E441" s="5" t="str">
        <f t="shared" si="20"/>
        <v>NL-C50-STR_Conc work Excl Floor Slab vs MEC_Uninsulated Pipes and Acc</v>
      </c>
    </row>
    <row r="442" spans="1:5" x14ac:dyDescent="0.25">
      <c r="A442" s="51" t="str">
        <v>T1</v>
      </c>
      <c r="B442" s="51" t="str">
        <v>C50</v>
      </c>
      <c r="C442" s="5" t="s">
        <v>103</v>
      </c>
      <c r="D442" s="5" t="str">
        <v>MEC_Uninulated Flexi duct</v>
      </c>
      <c r="E442" s="5" t="str">
        <f t="shared" si="20"/>
        <v>NL-C50-STR_Conc work Excl Floor Slab vs MEC_Uninulated Flexi duct</v>
      </c>
    </row>
    <row r="443" spans="1:5" x14ac:dyDescent="0.25">
      <c r="A443" s="51" t="str">
        <v>T1</v>
      </c>
      <c r="B443" s="51" t="str">
        <v>C50</v>
      </c>
      <c r="C443" s="5" t="s">
        <v>103</v>
      </c>
      <c r="D443" s="5" t="str">
        <v>MEC_Equipment</v>
      </c>
      <c r="E443" s="5" t="str">
        <f t="shared" si="20"/>
        <v>NL-C50-STR_Conc work Excl Floor Slab vs MEC_Equipment</v>
      </c>
    </row>
    <row r="444" spans="1:5" x14ac:dyDescent="0.25">
      <c r="A444" s="51" t="str">
        <v>T1</v>
      </c>
      <c r="B444" s="51" t="str">
        <v>C50</v>
      </c>
      <c r="C444" s="5" t="s">
        <v>103</v>
      </c>
      <c r="D444" s="5" t="str">
        <v>ELE_Cable Tray and Fittings</v>
      </c>
      <c r="E444" s="5" t="str">
        <f t="shared" si="20"/>
        <v>NL-C50-STR_Conc work Excl Floor Slab vs ELE_Cable Tray and Fittings</v>
      </c>
    </row>
    <row r="445" spans="1:5" x14ac:dyDescent="0.25">
      <c r="A445" s="51" t="str">
        <v>T1</v>
      </c>
      <c r="B445" s="51" t="str">
        <v>C50</v>
      </c>
      <c r="C445" s="5" t="s">
        <v>103</v>
      </c>
      <c r="D445" s="5" t="str">
        <v>ELE_Conduit*</v>
      </c>
      <c r="E445" s="5" t="str">
        <f t="shared" si="20"/>
        <v>NL-C50-STR_Conc work Excl Floor Slab vs ELE_Conduit*</v>
      </c>
    </row>
    <row r="446" spans="1:5" x14ac:dyDescent="0.25">
      <c r="A446" s="51" t="str">
        <v>T1</v>
      </c>
      <c r="B446" s="51" t="str">
        <v>C50</v>
      </c>
      <c r="C446" s="5" t="s">
        <v>103</v>
      </c>
      <c r="D446" s="5" t="str">
        <v>ELE_Electrical Equip.</v>
      </c>
      <c r="E446" s="5" t="str">
        <f t="shared" si="20"/>
        <v>NL-C50-STR_Conc work Excl Floor Slab vs ELE_Electrical Equip.</v>
      </c>
    </row>
    <row r="447" spans="1:5" x14ac:dyDescent="0.25">
      <c r="A447" s="51" t="str">
        <v>T1</v>
      </c>
      <c r="B447" s="51" t="str">
        <v>C50</v>
      </c>
      <c r="C447" s="5" t="s">
        <v>103</v>
      </c>
      <c r="D447" s="5" t="str">
        <v>ELE_Small Devices</v>
      </c>
      <c r="E447" s="5" t="str">
        <f t="shared" si="20"/>
        <v>NL-C50-STR_Conc work Excl Floor Slab vs ELE_Small Devices</v>
      </c>
    </row>
    <row r="448" spans="1:5" x14ac:dyDescent="0.25">
      <c r="A448" s="51" t="str">
        <v>T1</v>
      </c>
      <c r="B448" s="51" t="str">
        <v>C50</v>
      </c>
      <c r="C448" s="5" t="s">
        <v>103</v>
      </c>
      <c r="D448" s="5" t="str">
        <v>ELE_Services Lighting Fixtures</v>
      </c>
      <c r="E448" s="5" t="str">
        <f t="shared" si="20"/>
        <v>NL-C50-STR_Conc work Excl Floor Slab vs ELE_Services Lighting Fixtures</v>
      </c>
    </row>
    <row r="449" spans="1:5" x14ac:dyDescent="0.25">
      <c r="A449" s="51" t="str">
        <v>T1</v>
      </c>
      <c r="B449" s="51" t="str">
        <v>C50</v>
      </c>
      <c r="C449" s="5" t="s">
        <v>103</v>
      </c>
      <c r="D449" s="5" t="str">
        <v>FIR_Fire Pipes</v>
      </c>
      <c r="E449" s="5" t="str">
        <f t="shared" si="20"/>
        <v>NL-C50-STR_Conc work Excl Floor Slab vs FIR_Fire Pipes</v>
      </c>
    </row>
    <row r="450" spans="1:5" x14ac:dyDescent="0.25">
      <c r="A450" s="51">
        <v>0</v>
      </c>
      <c r="B450" s="51">
        <v>0</v>
      </c>
      <c r="C450" s="5" t="s">
        <v>103</v>
      </c>
      <c r="D450" s="5" t="str">
        <v>FIR_Sprinklers Heads</v>
      </c>
      <c r="E450" s="5" t="str">
        <f t="shared" si="20"/>
        <v>NL-0-STR_Conc work Excl Floor Slab vs FIR_Sprinklers Heads</v>
      </c>
    </row>
    <row r="451" spans="1:5" x14ac:dyDescent="0.25">
      <c r="A451" s="51">
        <v>0</v>
      </c>
      <c r="B451" s="51">
        <v>0</v>
      </c>
      <c r="C451" s="5" t="s">
        <v>103</v>
      </c>
      <c r="D451" s="5" t="str">
        <v>FIR_Heat or Smoke Detectors</v>
      </c>
      <c r="E451" s="5" t="str">
        <f t="shared" si="20"/>
        <v>NL-0-STR_Conc work Excl Floor Slab vs FIR_Heat or Smoke Detectors</v>
      </c>
    </row>
    <row r="452" spans="1:5" x14ac:dyDescent="0.25">
      <c r="A452" s="51" cm="1">
        <f t="array" ref="A452:A473">TRANSPOSE('Clash Matrix (Update to suit)'!R32:AM32)</f>
        <v>0</v>
      </c>
      <c r="B452" s="51" cm="1">
        <f t="array" ref="B452:B473">TRANSPOSE('Clash Matrix (Update to suit)'!R33:AM33)</f>
        <v>0</v>
      </c>
      <c r="C452" s="5" t="str">
        <f>'Item Categories'!C17</f>
        <v>STR_Steelwork (Bracing and Columns)</v>
      </c>
      <c r="D452" s="5" t="str" cm="1">
        <f t="array" ref="D452:D473">TRANSPOSE('Clash Matrix (Update to suit)'!R1:AM1)</f>
        <v>STR_Steelwork (Bracing and Columns)</v>
      </c>
      <c r="E452" s="5" t="str">
        <f t="shared" si="20"/>
        <v>NL-0-STR_Steelwork (Bracing and Columns) vs STR_Steelwork (Bracing and Columns)</v>
      </c>
    </row>
    <row r="453" spans="1:5" x14ac:dyDescent="0.25">
      <c r="A453" s="51">
        <v>0</v>
      </c>
      <c r="B453" s="51">
        <v>0</v>
      </c>
      <c r="C453" s="5" t="s">
        <v>104</v>
      </c>
      <c r="D453" s="5" t="str">
        <v>STR Floor</v>
      </c>
      <c r="E453" s="5" t="str">
        <f t="shared" si="20"/>
        <v>NL-0-STR_Steelwork (Bracing and Columns) vs STR Floor</v>
      </c>
    </row>
    <row r="454" spans="1:5" x14ac:dyDescent="0.25">
      <c r="A454" s="51" t="str">
        <v>T1</v>
      </c>
      <c r="B454" s="51" t="str">
        <v>C50</v>
      </c>
      <c r="C454" s="5" t="s">
        <v>104</v>
      </c>
      <c r="D454" s="5" t="str">
        <v>HYD_Uninsulated Pipes and Acc</v>
      </c>
      <c r="E454" s="5" t="str">
        <f t="shared" si="20"/>
        <v>NL-C50-STR_Steelwork (Bracing and Columns) vs HYD_Uninsulated Pipes and Acc</v>
      </c>
    </row>
    <row r="455" spans="1:5" x14ac:dyDescent="0.25">
      <c r="A455" s="51" t="str">
        <v>T1</v>
      </c>
      <c r="B455" s="51" t="str">
        <v>C50</v>
      </c>
      <c r="C455" s="5" t="s">
        <v>104</v>
      </c>
      <c r="D455" s="5" t="str">
        <v>HYD_Pipe Insulation</v>
      </c>
      <c r="E455" s="5" t="str">
        <f t="shared" si="20"/>
        <v>NL-C50-STR_Steelwork (Bracing and Columns) vs HYD_Pipe Insulation</v>
      </c>
    </row>
    <row r="456" spans="1:5" x14ac:dyDescent="0.25">
      <c r="A456" s="51" t="str">
        <v>T1</v>
      </c>
      <c r="B456" s="51" t="str">
        <v>C50</v>
      </c>
      <c r="C456" s="5" t="s">
        <v>104</v>
      </c>
      <c r="D456" s="5" t="str">
        <v>HYD_Uninsulated Hot and Cold Pipes and Acc</v>
      </c>
      <c r="E456" s="5" t="str">
        <f t="shared" si="20"/>
        <v>NL-C50-STR_Steelwork (Bracing and Columns) vs HYD_Uninsulated Hot and Cold Pipes and Acc</v>
      </c>
    </row>
    <row r="457" spans="1:5" x14ac:dyDescent="0.25">
      <c r="A457" s="51" t="str">
        <v>T1</v>
      </c>
      <c r="B457" s="51" t="str">
        <v>C50</v>
      </c>
      <c r="C457" s="5" t="s">
        <v>104</v>
      </c>
      <c r="D457" s="5" t="str">
        <v>HYD_Hot and Cold Insulation</v>
      </c>
      <c r="E457" s="5" t="str">
        <f t="shared" si="20"/>
        <v>NL-C50-STR_Steelwork (Bracing and Columns) vs HYD_Hot and Cold Insulation</v>
      </c>
    </row>
    <row r="458" spans="1:5" x14ac:dyDescent="0.25">
      <c r="A458" s="51">
        <v>0</v>
      </c>
      <c r="B458" s="51">
        <v>0</v>
      </c>
      <c r="C458" s="5" t="s">
        <v>104</v>
      </c>
      <c r="D458" s="5" t="str">
        <v>HYD_Plumbing Fixture</v>
      </c>
      <c r="E458" s="5" t="str">
        <f t="shared" si="20"/>
        <v>NL-0-STR_Steelwork (Bracing and Columns) vs HYD_Plumbing Fixture</v>
      </c>
    </row>
    <row r="459" spans="1:5" x14ac:dyDescent="0.25">
      <c r="A459" s="51" t="str">
        <v>T1</v>
      </c>
      <c r="B459" s="51" t="str">
        <v>C50</v>
      </c>
      <c r="C459" s="5" t="s">
        <v>104</v>
      </c>
      <c r="D459" s="5" t="str">
        <v>MEC_Air Terminals</v>
      </c>
      <c r="E459" s="5" t="str">
        <f t="shared" si="20"/>
        <v>NL-C50-STR_Steelwork (Bracing and Columns) vs MEC_Air Terminals</v>
      </c>
    </row>
    <row r="460" spans="1:5" x14ac:dyDescent="0.25">
      <c r="A460" s="51" t="str">
        <v>T1</v>
      </c>
      <c r="B460" s="51" t="str">
        <v>C50</v>
      </c>
      <c r="C460" s="5" t="s">
        <v>104</v>
      </c>
      <c r="D460" s="5" t="str">
        <v>MEC_Uninsulated Duct and Acc</v>
      </c>
      <c r="E460" s="5" t="str">
        <f t="shared" si="20"/>
        <v>NL-C50-STR_Steelwork (Bracing and Columns) vs MEC_Uninsulated Duct and Acc</v>
      </c>
    </row>
    <row r="461" spans="1:5" x14ac:dyDescent="0.25">
      <c r="A461" s="51" t="str">
        <v>T1</v>
      </c>
      <c r="B461" s="51" t="str">
        <v>C50</v>
      </c>
      <c r="C461" s="5" t="s">
        <v>104</v>
      </c>
      <c r="D461" s="5" t="str">
        <v>MEC_Duct Insulation</v>
      </c>
      <c r="E461" s="5" t="str">
        <f t="shared" si="20"/>
        <v>NL-C50-STR_Steelwork (Bracing and Columns) vs MEC_Duct Insulation</v>
      </c>
    </row>
    <row r="462" spans="1:5" x14ac:dyDescent="0.25">
      <c r="A462" s="51" t="str">
        <v>T1</v>
      </c>
      <c r="B462" s="51" t="str">
        <v>C50</v>
      </c>
      <c r="C462" s="5" t="s">
        <v>104</v>
      </c>
      <c r="D462" s="5" t="str">
        <v>MEC_Pipe Insulation</v>
      </c>
      <c r="E462" s="5" t="str">
        <f t="shared" si="20"/>
        <v>NL-C50-STR_Steelwork (Bracing and Columns) vs MEC_Pipe Insulation</v>
      </c>
    </row>
    <row r="463" spans="1:5" x14ac:dyDescent="0.25">
      <c r="A463" s="51" t="str">
        <v>T1</v>
      </c>
      <c r="B463" s="51" t="str">
        <v>C50</v>
      </c>
      <c r="C463" s="5" t="s">
        <v>104</v>
      </c>
      <c r="D463" s="5" t="str">
        <v>MEC_Uninsulated Pipes and Acc</v>
      </c>
      <c r="E463" s="5" t="str">
        <f t="shared" si="20"/>
        <v>NL-C50-STR_Steelwork (Bracing and Columns) vs MEC_Uninsulated Pipes and Acc</v>
      </c>
    </row>
    <row r="464" spans="1:5" x14ac:dyDescent="0.25">
      <c r="A464" s="51" t="str">
        <v>T1</v>
      </c>
      <c r="B464" s="51" t="str">
        <v>C50</v>
      </c>
      <c r="C464" s="5" t="s">
        <v>104</v>
      </c>
      <c r="D464" s="5" t="str">
        <v>MEC_Uninulated Flexi duct</v>
      </c>
      <c r="E464" s="5" t="str">
        <f t="shared" si="20"/>
        <v>NL-C50-STR_Steelwork (Bracing and Columns) vs MEC_Uninulated Flexi duct</v>
      </c>
    </row>
    <row r="465" spans="1:5" x14ac:dyDescent="0.25">
      <c r="A465" s="51" t="str">
        <v>T1</v>
      </c>
      <c r="B465" s="51" t="str">
        <v>C50</v>
      </c>
      <c r="C465" s="5" t="s">
        <v>104</v>
      </c>
      <c r="D465" s="5" t="str">
        <v>MEC_Equipment</v>
      </c>
      <c r="E465" s="5" t="str">
        <f t="shared" si="20"/>
        <v>NL-C50-STR_Steelwork (Bracing and Columns) vs MEC_Equipment</v>
      </c>
    </row>
    <row r="466" spans="1:5" x14ac:dyDescent="0.25">
      <c r="A466" s="51" t="str">
        <v>T1</v>
      </c>
      <c r="B466" s="51" t="str">
        <v>C50</v>
      </c>
      <c r="C466" s="5" t="s">
        <v>104</v>
      </c>
      <c r="D466" s="5" t="str">
        <v>ELE_Cable Tray and Fittings</v>
      </c>
      <c r="E466" s="5" t="str">
        <f t="shared" ref="E466:E473" si="21">"NL-"&amp;B466&amp; "-"&amp; C466&amp;" vs "&amp;D466</f>
        <v>NL-C50-STR_Steelwork (Bracing and Columns) vs ELE_Cable Tray and Fittings</v>
      </c>
    </row>
    <row r="467" spans="1:5" x14ac:dyDescent="0.25">
      <c r="A467" s="51" t="str">
        <v>T1</v>
      </c>
      <c r="B467" s="51" t="str">
        <v>C50</v>
      </c>
      <c r="C467" s="5" t="s">
        <v>104</v>
      </c>
      <c r="D467" s="5" t="str">
        <v>ELE_Conduit*</v>
      </c>
      <c r="E467" s="5" t="str">
        <f t="shared" si="21"/>
        <v>NL-C50-STR_Steelwork (Bracing and Columns) vs ELE_Conduit*</v>
      </c>
    </row>
    <row r="468" spans="1:5" x14ac:dyDescent="0.25">
      <c r="A468" s="51" t="str">
        <v>T1</v>
      </c>
      <c r="B468" s="51" t="str">
        <v>C50</v>
      </c>
      <c r="C468" s="5" t="s">
        <v>104</v>
      </c>
      <c r="D468" s="5" t="str">
        <v>ELE_Electrical Equip.</v>
      </c>
      <c r="E468" s="5" t="str">
        <f t="shared" si="21"/>
        <v>NL-C50-STR_Steelwork (Bracing and Columns) vs ELE_Electrical Equip.</v>
      </c>
    </row>
    <row r="469" spans="1:5" x14ac:dyDescent="0.25">
      <c r="A469" s="51" t="str">
        <v>T1</v>
      </c>
      <c r="B469" s="51" t="str">
        <v>C50</v>
      </c>
      <c r="C469" s="5" t="s">
        <v>104</v>
      </c>
      <c r="D469" s="5" t="str">
        <v>ELE_Small Devices</v>
      </c>
      <c r="E469" s="5" t="str">
        <f t="shared" si="21"/>
        <v>NL-C50-STR_Steelwork (Bracing and Columns) vs ELE_Small Devices</v>
      </c>
    </row>
    <row r="470" spans="1:5" x14ac:dyDescent="0.25">
      <c r="A470" s="51" t="str">
        <v>T1</v>
      </c>
      <c r="B470" s="51" t="str">
        <v>C50</v>
      </c>
      <c r="C470" s="5" t="s">
        <v>104</v>
      </c>
      <c r="D470" s="5" t="str">
        <v>ELE_Services Lighting Fixtures</v>
      </c>
      <c r="E470" s="5" t="str">
        <f t="shared" si="21"/>
        <v>NL-C50-STR_Steelwork (Bracing and Columns) vs ELE_Services Lighting Fixtures</v>
      </c>
    </row>
    <row r="471" spans="1:5" x14ac:dyDescent="0.25">
      <c r="A471" s="51">
        <v>0</v>
      </c>
      <c r="B471" s="51">
        <v>0</v>
      </c>
      <c r="C471" s="5" t="s">
        <v>104</v>
      </c>
      <c r="D471" s="5" t="str">
        <v>FIR_Fire Pipes</v>
      </c>
      <c r="E471" s="5" t="str">
        <f t="shared" si="21"/>
        <v>NL-0-STR_Steelwork (Bracing and Columns) vs FIR_Fire Pipes</v>
      </c>
    </row>
    <row r="472" spans="1:5" x14ac:dyDescent="0.25">
      <c r="A472" s="51">
        <v>0</v>
      </c>
      <c r="B472" s="51">
        <v>0</v>
      </c>
      <c r="C472" s="5" t="s">
        <v>104</v>
      </c>
      <c r="D472" s="5" t="str">
        <v>FIR_Sprinklers Heads</v>
      </c>
      <c r="E472" s="5" t="str">
        <f t="shared" si="21"/>
        <v>NL-0-STR_Steelwork (Bracing and Columns) vs FIR_Sprinklers Heads</v>
      </c>
    </row>
    <row r="473" spans="1:5" x14ac:dyDescent="0.25">
      <c r="A473" s="51">
        <v>0</v>
      </c>
      <c r="B473" s="51">
        <v>0</v>
      </c>
      <c r="C473" s="5" t="s">
        <v>104</v>
      </c>
      <c r="D473" s="5" t="str">
        <v>FIR_Heat or Smoke Detectors</v>
      </c>
      <c r="E473" s="5" t="str">
        <f t="shared" si="21"/>
        <v>NL-0-STR_Steelwork (Bracing and Columns) vs FIR_Heat or Smoke Detectors</v>
      </c>
    </row>
    <row r="474" spans="1:5" x14ac:dyDescent="0.25">
      <c r="A474" s="51" cm="1">
        <f t="array" ref="A474:A494">TRANSPOSE('Clash Matrix (Update to suit)'!S34:AM34)</f>
        <v>0</v>
      </c>
      <c r="B474" s="51" cm="1">
        <f t="array" ref="B474:B494">TRANSPOSE('Clash Matrix (Update to suit)'!S35:AM35)</f>
        <v>0</v>
      </c>
      <c r="C474" s="5" t="s">
        <v>48</v>
      </c>
      <c r="D474" s="5" t="str" cm="1">
        <f t="array" ref="D474:D494">TRANSPOSE('Clash Matrix (Update to suit)'!S1:AM1)</f>
        <v>STR Floor</v>
      </c>
      <c r="E474" s="5" t="str">
        <f t="shared" ref="E474:E505" si="22">"NL-"&amp;B474&amp; "-"&amp; C474&amp;" vs "&amp;D474</f>
        <v>NL-0-STR Floor vs STR Floor</v>
      </c>
    </row>
    <row r="475" spans="1:5" x14ac:dyDescent="0.25">
      <c r="A475" s="51" t="str">
        <v>T1</v>
      </c>
      <c r="B475" s="51" t="str">
        <v>C50</v>
      </c>
      <c r="C475" s="5" t="s">
        <v>48</v>
      </c>
      <c r="D475" s="5" t="str">
        <v>HYD_Uninsulated Pipes and Acc</v>
      </c>
      <c r="E475" s="5" t="str">
        <f t="shared" si="22"/>
        <v>NL-C50-STR Floor vs HYD_Uninsulated Pipes and Acc</v>
      </c>
    </row>
    <row r="476" spans="1:5" x14ac:dyDescent="0.25">
      <c r="A476" s="51" t="str">
        <v>T1</v>
      </c>
      <c r="B476" s="51" t="str">
        <v>C50</v>
      </c>
      <c r="C476" s="5" t="s">
        <v>48</v>
      </c>
      <c r="D476" s="5" t="str">
        <v>HYD_Pipe Insulation</v>
      </c>
      <c r="E476" s="5" t="str">
        <f t="shared" si="22"/>
        <v>NL-C50-STR Floor vs HYD_Pipe Insulation</v>
      </c>
    </row>
    <row r="477" spans="1:5" x14ac:dyDescent="0.25">
      <c r="A477" s="51" t="str">
        <v>T1</v>
      </c>
      <c r="B477" s="51" t="str">
        <v>C50</v>
      </c>
      <c r="C477" s="5" t="s">
        <v>48</v>
      </c>
      <c r="D477" s="5" t="str">
        <v>HYD_Uninsulated Hot and Cold Pipes and Acc</v>
      </c>
      <c r="E477" s="5" t="str">
        <f t="shared" si="22"/>
        <v>NL-C50-STR Floor vs HYD_Uninsulated Hot and Cold Pipes and Acc</v>
      </c>
    </row>
    <row r="478" spans="1:5" x14ac:dyDescent="0.25">
      <c r="A478" s="51" t="str">
        <v>T1</v>
      </c>
      <c r="B478" s="51" t="str">
        <v>C50</v>
      </c>
      <c r="C478" s="5" t="s">
        <v>48</v>
      </c>
      <c r="D478" s="5" t="str">
        <v>HYD_Hot and Cold Insulation</v>
      </c>
      <c r="E478" s="5" t="str">
        <f t="shared" si="22"/>
        <v>NL-C50-STR Floor vs HYD_Hot and Cold Insulation</v>
      </c>
    </row>
    <row r="479" spans="1:5" x14ac:dyDescent="0.25">
      <c r="A479" s="51">
        <v>0</v>
      </c>
      <c r="B479" s="51">
        <v>0</v>
      </c>
      <c r="C479" s="5" t="s">
        <v>48</v>
      </c>
      <c r="D479" s="5" t="str">
        <v>HYD_Plumbing Fixture</v>
      </c>
      <c r="E479" s="5" t="str">
        <f t="shared" si="22"/>
        <v>NL-0-STR Floor vs HYD_Plumbing Fixture</v>
      </c>
    </row>
    <row r="480" spans="1:5" x14ac:dyDescent="0.25">
      <c r="A480" s="51" t="str">
        <v>T1</v>
      </c>
      <c r="B480" s="51" t="str">
        <v>C50</v>
      </c>
      <c r="C480" s="5" t="s">
        <v>48</v>
      </c>
      <c r="D480" s="5" t="str">
        <v>MEC_Air Terminals</v>
      </c>
      <c r="E480" s="5" t="str">
        <f t="shared" si="22"/>
        <v>NL-C50-STR Floor vs MEC_Air Terminals</v>
      </c>
    </row>
    <row r="481" spans="1:5" x14ac:dyDescent="0.25">
      <c r="A481" s="51" t="str">
        <v>T1</v>
      </c>
      <c r="B481" s="51" t="str">
        <v>C50</v>
      </c>
      <c r="C481" s="5" t="s">
        <v>48</v>
      </c>
      <c r="D481" s="5" t="str">
        <v>MEC_Uninsulated Duct and Acc</v>
      </c>
      <c r="E481" s="5" t="str">
        <f t="shared" si="22"/>
        <v>NL-C50-STR Floor vs MEC_Uninsulated Duct and Acc</v>
      </c>
    </row>
    <row r="482" spans="1:5" x14ac:dyDescent="0.25">
      <c r="A482" s="51" t="str">
        <v>T1</v>
      </c>
      <c r="B482" s="51" t="str">
        <v>C50</v>
      </c>
      <c r="C482" s="5" t="s">
        <v>48</v>
      </c>
      <c r="D482" s="5" t="str">
        <v>MEC_Duct Insulation</v>
      </c>
      <c r="E482" s="5" t="str">
        <f t="shared" si="22"/>
        <v>NL-C50-STR Floor vs MEC_Duct Insulation</v>
      </c>
    </row>
    <row r="483" spans="1:5" x14ac:dyDescent="0.25">
      <c r="A483" s="51" t="str">
        <v>T1</v>
      </c>
      <c r="B483" s="51" t="str">
        <v>C50</v>
      </c>
      <c r="C483" s="5" t="s">
        <v>48</v>
      </c>
      <c r="D483" s="5" t="str">
        <v>MEC_Pipe Insulation</v>
      </c>
      <c r="E483" s="5" t="str">
        <f t="shared" si="22"/>
        <v>NL-C50-STR Floor vs MEC_Pipe Insulation</v>
      </c>
    </row>
    <row r="484" spans="1:5" x14ac:dyDescent="0.25">
      <c r="A484" s="51" t="str">
        <v>T1</v>
      </c>
      <c r="B484" s="51" t="str">
        <v>C50</v>
      </c>
      <c r="C484" s="5" t="s">
        <v>48</v>
      </c>
      <c r="D484" s="5" t="str">
        <v>MEC_Uninsulated Pipes and Acc</v>
      </c>
      <c r="E484" s="5" t="str">
        <f t="shared" si="22"/>
        <v>NL-C50-STR Floor vs MEC_Uninsulated Pipes and Acc</v>
      </c>
    </row>
    <row r="485" spans="1:5" x14ac:dyDescent="0.25">
      <c r="A485" s="51" t="str">
        <v>T1</v>
      </c>
      <c r="B485" s="51" t="str">
        <v>C50</v>
      </c>
      <c r="C485" s="5" t="s">
        <v>48</v>
      </c>
      <c r="D485" s="5" t="str">
        <v>MEC_Uninulated Flexi duct</v>
      </c>
      <c r="E485" s="5" t="str">
        <f t="shared" si="22"/>
        <v>NL-C50-STR Floor vs MEC_Uninulated Flexi duct</v>
      </c>
    </row>
    <row r="486" spans="1:5" x14ac:dyDescent="0.25">
      <c r="A486" s="51" t="str">
        <v>T1</v>
      </c>
      <c r="B486" s="51" t="str">
        <v>C50</v>
      </c>
      <c r="C486" s="5" t="s">
        <v>48</v>
      </c>
      <c r="D486" s="5" t="str">
        <v>MEC_Equipment</v>
      </c>
      <c r="E486" s="5" t="str">
        <f t="shared" si="22"/>
        <v>NL-C50-STR Floor vs MEC_Equipment</v>
      </c>
    </row>
    <row r="487" spans="1:5" x14ac:dyDescent="0.25">
      <c r="A487" s="51" t="str">
        <v>T1</v>
      </c>
      <c r="B487" s="51" t="str">
        <v>C50</v>
      </c>
      <c r="C487" s="5" t="s">
        <v>48</v>
      </c>
      <c r="D487" s="5" t="str">
        <v>ELE_Cable Tray and Fittings</v>
      </c>
      <c r="E487" s="5" t="str">
        <f t="shared" si="22"/>
        <v>NL-C50-STR Floor vs ELE_Cable Tray and Fittings</v>
      </c>
    </row>
    <row r="488" spans="1:5" x14ac:dyDescent="0.25">
      <c r="A488" s="51" t="str">
        <v>T1</v>
      </c>
      <c r="B488" s="51" t="str">
        <v>C50</v>
      </c>
      <c r="C488" s="5" t="s">
        <v>48</v>
      </c>
      <c r="D488" s="5" t="str">
        <v>ELE_Conduit*</v>
      </c>
      <c r="E488" s="5" t="str">
        <f t="shared" si="22"/>
        <v>NL-C50-STR Floor vs ELE_Conduit*</v>
      </c>
    </row>
    <row r="489" spans="1:5" x14ac:dyDescent="0.25">
      <c r="A489" s="51" t="str">
        <v>T1</v>
      </c>
      <c r="B489" s="51" t="str">
        <v>C50</v>
      </c>
      <c r="C489" s="5" t="s">
        <v>48</v>
      </c>
      <c r="D489" s="5" t="str">
        <v>ELE_Electrical Equip.</v>
      </c>
      <c r="E489" s="5" t="str">
        <f t="shared" si="22"/>
        <v>NL-C50-STR Floor vs ELE_Electrical Equip.</v>
      </c>
    </row>
    <row r="490" spans="1:5" x14ac:dyDescent="0.25">
      <c r="A490" s="51" t="str">
        <v>T1</v>
      </c>
      <c r="B490" s="51" t="str">
        <v>C50</v>
      </c>
      <c r="C490" s="5" t="s">
        <v>48</v>
      </c>
      <c r="D490" s="5" t="str">
        <v>ELE_Small Devices</v>
      </c>
      <c r="E490" s="5" t="str">
        <f t="shared" si="22"/>
        <v>NL-C50-STR Floor vs ELE_Small Devices</v>
      </c>
    </row>
    <row r="491" spans="1:5" x14ac:dyDescent="0.25">
      <c r="A491" s="51" t="str">
        <v>T1</v>
      </c>
      <c r="B491" s="51" t="str">
        <v>C50</v>
      </c>
      <c r="C491" s="5" t="s">
        <v>48</v>
      </c>
      <c r="D491" s="5" t="str">
        <v>ELE_Services Lighting Fixtures</v>
      </c>
      <c r="E491" s="5" t="str">
        <f t="shared" si="22"/>
        <v>NL-C50-STR Floor vs ELE_Services Lighting Fixtures</v>
      </c>
    </row>
    <row r="492" spans="1:5" x14ac:dyDescent="0.25">
      <c r="A492" s="51" t="str">
        <v>T1</v>
      </c>
      <c r="B492" s="51" t="str">
        <v>C50</v>
      </c>
      <c r="C492" s="5" t="s">
        <v>48</v>
      </c>
      <c r="D492" s="5" t="str">
        <v>FIR_Fire Pipes</v>
      </c>
      <c r="E492" s="5" t="str">
        <f t="shared" si="22"/>
        <v>NL-C50-STR Floor vs FIR_Fire Pipes</v>
      </c>
    </row>
    <row r="493" spans="1:5" x14ac:dyDescent="0.25">
      <c r="A493" s="51">
        <v>0</v>
      </c>
      <c r="B493" s="51">
        <v>0</v>
      </c>
      <c r="C493" s="5" t="s">
        <v>48</v>
      </c>
      <c r="D493" s="5" t="str">
        <v>FIR_Sprinklers Heads</v>
      </c>
      <c r="E493" s="5" t="str">
        <f t="shared" si="22"/>
        <v>NL-0-STR Floor vs FIR_Sprinklers Heads</v>
      </c>
    </row>
    <row r="494" spans="1:5" x14ac:dyDescent="0.25">
      <c r="A494" s="51">
        <v>0</v>
      </c>
      <c r="B494" s="51">
        <v>0</v>
      </c>
      <c r="C494" s="5" t="s">
        <v>48</v>
      </c>
      <c r="D494" s="5" t="str">
        <v>FIR_Heat or Smoke Detectors</v>
      </c>
      <c r="E494" s="5" t="str">
        <f t="shared" si="22"/>
        <v>NL-0-STR Floor vs FIR_Heat or Smoke Detectors</v>
      </c>
    </row>
    <row r="495" spans="1:5" x14ac:dyDescent="0.25">
      <c r="A495" s="51" cm="1">
        <f t="array" ref="A495:A514">TRANSPOSE('Clash Matrix (Update to suit)'!T36:AM36)</f>
        <v>0</v>
      </c>
      <c r="B495" s="51" cm="1">
        <f t="array" ref="B495:B514">TRANSPOSE('Clash Matrix (Update to suit)'!T37:AM37)</f>
        <v>0</v>
      </c>
      <c r="C495" s="5" t="s">
        <v>170</v>
      </c>
      <c r="D495" s="5" t="str" cm="1">
        <f t="array" ref="D495:D514">TRANSPOSE('Clash Matrix (Update to suit)'!T1:AM1)</f>
        <v>HYD_Uninsulated Pipes and Acc</v>
      </c>
      <c r="E495" s="5" t="str">
        <f t="shared" si="22"/>
        <v>NL-0-HYD_Uninsulated Pipes vs HYD_Uninsulated Pipes and Acc</v>
      </c>
    </row>
    <row r="496" spans="1:5" x14ac:dyDescent="0.25">
      <c r="A496" s="51" t="str">
        <v>T2</v>
      </c>
      <c r="B496" s="51" t="str">
        <v>C50</v>
      </c>
      <c r="C496" s="5" t="s">
        <v>170</v>
      </c>
      <c r="D496" s="5" t="str">
        <v>HYD_Pipe Insulation</v>
      </c>
      <c r="E496" s="5" t="str">
        <f t="shared" si="22"/>
        <v>NL-C50-HYD_Uninsulated Pipes vs HYD_Pipe Insulation</v>
      </c>
    </row>
    <row r="497" spans="1:5" x14ac:dyDescent="0.25">
      <c r="A497" s="51" t="str">
        <v>T2</v>
      </c>
      <c r="B497" s="51" t="str">
        <v>C50</v>
      </c>
      <c r="C497" s="5" t="s">
        <v>170</v>
      </c>
      <c r="D497" s="5" t="str">
        <v>HYD_Uninsulated Hot and Cold Pipes and Acc</v>
      </c>
      <c r="E497" s="5" t="str">
        <f t="shared" si="22"/>
        <v>NL-C50-HYD_Uninsulated Pipes vs HYD_Uninsulated Hot and Cold Pipes and Acc</v>
      </c>
    </row>
    <row r="498" spans="1:5" x14ac:dyDescent="0.25">
      <c r="A498" s="51" t="str">
        <v>T2</v>
      </c>
      <c r="B498" s="51" t="str">
        <v>C50</v>
      </c>
      <c r="C498" s="5" t="s">
        <v>170</v>
      </c>
      <c r="D498" s="5" t="str">
        <v>HYD_Hot and Cold Insulation</v>
      </c>
      <c r="E498" s="5" t="str">
        <f t="shared" si="22"/>
        <v>NL-C50-HYD_Uninsulated Pipes vs HYD_Hot and Cold Insulation</v>
      </c>
    </row>
    <row r="499" spans="1:5" x14ac:dyDescent="0.25">
      <c r="A499" s="51" t="str">
        <v>T2</v>
      </c>
      <c r="B499" s="51" t="str">
        <v>C50</v>
      </c>
      <c r="C499" s="5" t="s">
        <v>170</v>
      </c>
      <c r="D499" s="5" t="str">
        <v>HYD_Plumbing Fixture</v>
      </c>
      <c r="E499" s="5" t="str">
        <f t="shared" si="22"/>
        <v>NL-C50-HYD_Uninsulated Pipes vs HYD_Plumbing Fixture</v>
      </c>
    </row>
    <row r="500" spans="1:5" x14ac:dyDescent="0.25">
      <c r="A500" s="51" t="str">
        <v>T2</v>
      </c>
      <c r="B500" s="51" t="str">
        <v>C50</v>
      </c>
      <c r="C500" s="5" t="s">
        <v>170</v>
      </c>
      <c r="D500" s="5" t="str">
        <v>MEC_Air Terminals</v>
      </c>
      <c r="E500" s="5" t="str">
        <f t="shared" si="22"/>
        <v>NL-C50-HYD_Uninsulated Pipes vs MEC_Air Terminals</v>
      </c>
    </row>
    <row r="501" spans="1:5" x14ac:dyDescent="0.25">
      <c r="A501" s="51" t="str">
        <v>T2</v>
      </c>
      <c r="B501" s="51" t="str">
        <v>C50</v>
      </c>
      <c r="C501" s="5" t="s">
        <v>170</v>
      </c>
      <c r="D501" s="5" t="str">
        <v>MEC_Uninsulated Duct and Acc</v>
      </c>
      <c r="E501" s="5" t="str">
        <f t="shared" si="22"/>
        <v>NL-C50-HYD_Uninsulated Pipes vs MEC_Uninsulated Duct and Acc</v>
      </c>
    </row>
    <row r="502" spans="1:5" x14ac:dyDescent="0.25">
      <c r="A502" s="51" t="str">
        <v>T2</v>
      </c>
      <c r="B502" s="51" t="str">
        <v>C50</v>
      </c>
      <c r="C502" s="5" t="s">
        <v>170</v>
      </c>
      <c r="D502" s="5" t="str">
        <v>MEC_Duct Insulation</v>
      </c>
      <c r="E502" s="5" t="str">
        <f t="shared" si="22"/>
        <v>NL-C50-HYD_Uninsulated Pipes vs MEC_Duct Insulation</v>
      </c>
    </row>
    <row r="503" spans="1:5" x14ac:dyDescent="0.25">
      <c r="A503" s="51" t="str">
        <v>T2</v>
      </c>
      <c r="B503" s="51" t="str">
        <v>C50</v>
      </c>
      <c r="C503" s="5" t="s">
        <v>170</v>
      </c>
      <c r="D503" s="5" t="str">
        <v>MEC_Pipe Insulation</v>
      </c>
      <c r="E503" s="5" t="str">
        <f t="shared" si="22"/>
        <v>NL-C50-HYD_Uninsulated Pipes vs MEC_Pipe Insulation</v>
      </c>
    </row>
    <row r="504" spans="1:5" x14ac:dyDescent="0.25">
      <c r="A504" s="51" t="str">
        <v>T2</v>
      </c>
      <c r="B504" s="51" t="str">
        <v>C50</v>
      </c>
      <c r="C504" s="5" t="s">
        <v>170</v>
      </c>
      <c r="D504" s="5" t="str">
        <v>MEC_Uninsulated Pipes and Acc</v>
      </c>
      <c r="E504" s="5" t="str">
        <f t="shared" si="22"/>
        <v>NL-C50-HYD_Uninsulated Pipes vs MEC_Uninsulated Pipes and Acc</v>
      </c>
    </row>
    <row r="505" spans="1:5" x14ac:dyDescent="0.25">
      <c r="A505" s="51" t="str">
        <v>T2</v>
      </c>
      <c r="B505" s="51" t="str">
        <v>C50</v>
      </c>
      <c r="C505" s="5" t="s">
        <v>170</v>
      </c>
      <c r="D505" s="5" t="str">
        <v>MEC_Uninulated Flexi duct</v>
      </c>
      <c r="E505" s="5" t="str">
        <f t="shared" si="22"/>
        <v>NL-C50-HYD_Uninsulated Pipes vs MEC_Uninulated Flexi duct</v>
      </c>
    </row>
    <row r="506" spans="1:5" x14ac:dyDescent="0.25">
      <c r="A506" s="51" t="str">
        <v>T2</v>
      </c>
      <c r="B506" s="51" t="str">
        <v>C50</v>
      </c>
      <c r="C506" s="5" t="s">
        <v>170</v>
      </c>
      <c r="D506" s="5" t="str">
        <v>MEC_Equipment</v>
      </c>
      <c r="E506" s="5" t="str">
        <f t="shared" ref="E506:E533" si="23">"NL-"&amp;B506&amp; "-"&amp; C506&amp;" vs "&amp;D506</f>
        <v>NL-C50-HYD_Uninsulated Pipes vs MEC_Equipment</v>
      </c>
    </row>
    <row r="507" spans="1:5" x14ac:dyDescent="0.25">
      <c r="A507" s="51" t="str">
        <v>T2</v>
      </c>
      <c r="B507" s="51" t="str">
        <v>C50</v>
      </c>
      <c r="C507" s="5" t="s">
        <v>170</v>
      </c>
      <c r="D507" s="5" t="str">
        <v>ELE_Cable Tray and Fittings</v>
      </c>
      <c r="E507" s="5" t="str">
        <f t="shared" si="23"/>
        <v>NL-C50-HYD_Uninsulated Pipes vs ELE_Cable Tray and Fittings</v>
      </c>
    </row>
    <row r="508" spans="1:5" x14ac:dyDescent="0.25">
      <c r="A508" s="51" t="str">
        <v>T2</v>
      </c>
      <c r="B508" s="51" t="str">
        <v>C50</v>
      </c>
      <c r="C508" s="5" t="s">
        <v>170</v>
      </c>
      <c r="D508" s="5" t="str">
        <v>ELE_Conduit*</v>
      </c>
      <c r="E508" s="5" t="str">
        <f t="shared" si="23"/>
        <v>NL-C50-HYD_Uninsulated Pipes vs ELE_Conduit*</v>
      </c>
    </row>
    <row r="509" spans="1:5" x14ac:dyDescent="0.25">
      <c r="A509" s="51" t="str">
        <v>T2</v>
      </c>
      <c r="B509" s="51" t="str">
        <v>C50</v>
      </c>
      <c r="C509" s="5" t="s">
        <v>170</v>
      </c>
      <c r="D509" s="5" t="str">
        <v>ELE_Electrical Equip.</v>
      </c>
      <c r="E509" s="5" t="str">
        <f t="shared" si="23"/>
        <v>NL-C50-HYD_Uninsulated Pipes vs ELE_Electrical Equip.</v>
      </c>
    </row>
    <row r="510" spans="1:5" x14ac:dyDescent="0.25">
      <c r="A510" s="51" t="str">
        <v>T2</v>
      </c>
      <c r="B510" s="51" t="str">
        <v>C50</v>
      </c>
      <c r="C510" s="5" t="s">
        <v>170</v>
      </c>
      <c r="D510" s="5" t="str">
        <v>ELE_Small Devices</v>
      </c>
      <c r="E510" s="5" t="str">
        <f t="shared" si="23"/>
        <v>NL-C50-HYD_Uninsulated Pipes vs ELE_Small Devices</v>
      </c>
    </row>
    <row r="511" spans="1:5" x14ac:dyDescent="0.25">
      <c r="A511" s="51" t="str">
        <v>T2</v>
      </c>
      <c r="B511" s="51" t="str">
        <v>C50</v>
      </c>
      <c r="C511" s="5" t="s">
        <v>170</v>
      </c>
      <c r="D511" s="5" t="str">
        <v>ELE_Services Lighting Fixtures</v>
      </c>
      <c r="E511" s="5" t="str">
        <f t="shared" si="23"/>
        <v>NL-C50-HYD_Uninsulated Pipes vs ELE_Services Lighting Fixtures</v>
      </c>
    </row>
    <row r="512" spans="1:5" x14ac:dyDescent="0.25">
      <c r="A512" s="51" t="str">
        <v>T2</v>
      </c>
      <c r="B512" s="51" t="str">
        <v>C50</v>
      </c>
      <c r="C512" s="5" t="s">
        <v>170</v>
      </c>
      <c r="D512" s="5" t="str">
        <v>FIR_Fire Pipes</v>
      </c>
      <c r="E512" s="5" t="str">
        <f t="shared" si="23"/>
        <v>NL-C50-HYD_Uninsulated Pipes vs FIR_Fire Pipes</v>
      </c>
    </row>
    <row r="513" spans="1:5" x14ac:dyDescent="0.25">
      <c r="A513" s="51" t="str">
        <v>T2</v>
      </c>
      <c r="B513" s="51" t="str">
        <v>C50</v>
      </c>
      <c r="C513" s="5" t="s">
        <v>170</v>
      </c>
      <c r="D513" s="5" t="str">
        <v>FIR_Sprinklers Heads</v>
      </c>
      <c r="E513" s="5" t="str">
        <f t="shared" si="23"/>
        <v>NL-C50-HYD_Uninsulated Pipes vs FIR_Sprinklers Heads</v>
      </c>
    </row>
    <row r="514" spans="1:5" x14ac:dyDescent="0.25">
      <c r="A514" s="51" t="str">
        <v>T2</v>
      </c>
      <c r="B514" s="51" t="str">
        <v>C50</v>
      </c>
      <c r="C514" s="5" t="s">
        <v>170</v>
      </c>
      <c r="D514" s="5" t="str">
        <v>FIR_Heat or Smoke Detectors</v>
      </c>
      <c r="E514" s="5" t="str">
        <f t="shared" si="23"/>
        <v>NL-C50-HYD_Uninsulated Pipes vs FIR_Heat or Smoke Detectors</v>
      </c>
    </row>
    <row r="515" spans="1:5" x14ac:dyDescent="0.25">
      <c r="A515" s="51" cm="1">
        <f t="array" ref="A515:A533">TRANSPOSE('Clash Matrix (Update to suit)'!U38:AM38)</f>
        <v>0</v>
      </c>
      <c r="B515" s="51" cm="1">
        <f t="array" ref="B515:B533">TRANSPOSE('Clash Matrix (Update to suit)'!U39:AM39)</f>
        <v>0</v>
      </c>
      <c r="C515" s="5" t="str">
        <f>'Item Categories'!C20</f>
        <v>HYD_Pipe Insulation</v>
      </c>
      <c r="D515" s="5" t="str" cm="1">
        <f t="array" ref="D515:D533">TRANSPOSE('Clash Matrix (Update to suit)'!U1:AM1)</f>
        <v>HYD_Pipe Insulation</v>
      </c>
      <c r="E515" s="5" t="str">
        <f t="shared" si="23"/>
        <v>NL-0-HYD_Pipe Insulation vs HYD_Pipe Insulation</v>
      </c>
    </row>
    <row r="516" spans="1:5" x14ac:dyDescent="0.25">
      <c r="A516" s="51" t="str">
        <v>T2</v>
      </c>
      <c r="B516" s="51" t="str">
        <v>C50</v>
      </c>
      <c r="C516" s="5" t="str">
        <f>'Item Categories'!C20</f>
        <v>HYD_Pipe Insulation</v>
      </c>
      <c r="D516" s="5" t="str">
        <v>HYD_Uninsulated Hot and Cold Pipes and Acc</v>
      </c>
      <c r="E516" s="5" t="str">
        <f t="shared" si="23"/>
        <v>NL-C50-HYD_Pipe Insulation vs HYD_Uninsulated Hot and Cold Pipes and Acc</v>
      </c>
    </row>
    <row r="517" spans="1:5" x14ac:dyDescent="0.25">
      <c r="A517" s="51" t="str">
        <v>T2</v>
      </c>
      <c r="B517" s="51" t="str">
        <v>C50</v>
      </c>
      <c r="C517" s="5" t="str">
        <f>'Item Categories'!C20</f>
        <v>HYD_Pipe Insulation</v>
      </c>
      <c r="D517" s="5" t="str">
        <v>HYD_Hot and Cold Insulation</v>
      </c>
      <c r="E517" s="5" t="str">
        <f t="shared" si="23"/>
        <v>NL-C50-HYD_Pipe Insulation vs HYD_Hot and Cold Insulation</v>
      </c>
    </row>
    <row r="518" spans="1:5" x14ac:dyDescent="0.25">
      <c r="A518" s="51" t="str">
        <v>T2</v>
      </c>
      <c r="B518" s="51" t="str">
        <v>C50</v>
      </c>
      <c r="C518" s="5" t="str">
        <f>'Item Categories'!C20</f>
        <v>HYD_Pipe Insulation</v>
      </c>
      <c r="D518" s="5" t="str">
        <v>HYD_Plumbing Fixture</v>
      </c>
      <c r="E518" s="5" t="str">
        <f t="shared" si="23"/>
        <v>NL-C50-HYD_Pipe Insulation vs HYD_Plumbing Fixture</v>
      </c>
    </row>
    <row r="519" spans="1:5" x14ac:dyDescent="0.25">
      <c r="A519" s="51" t="str">
        <v>T2</v>
      </c>
      <c r="B519" s="51" t="str">
        <v>C50</v>
      </c>
      <c r="C519" s="5" t="str">
        <f>'Item Categories'!C20</f>
        <v>HYD_Pipe Insulation</v>
      </c>
      <c r="D519" s="5" t="str">
        <v>MEC_Air Terminals</v>
      </c>
      <c r="E519" s="5" t="str">
        <f t="shared" si="23"/>
        <v>NL-C50-HYD_Pipe Insulation vs MEC_Air Terminals</v>
      </c>
    </row>
    <row r="520" spans="1:5" x14ac:dyDescent="0.25">
      <c r="A520" s="51" t="str">
        <v>T2</v>
      </c>
      <c r="B520" s="51" t="str">
        <v>C50</v>
      </c>
      <c r="C520" s="5" t="str">
        <f>'Item Categories'!C20</f>
        <v>HYD_Pipe Insulation</v>
      </c>
      <c r="D520" s="5" t="str">
        <v>MEC_Uninsulated Duct and Acc</v>
      </c>
      <c r="E520" s="5" t="str">
        <f t="shared" si="23"/>
        <v>NL-C50-HYD_Pipe Insulation vs MEC_Uninsulated Duct and Acc</v>
      </c>
    </row>
    <row r="521" spans="1:5" x14ac:dyDescent="0.25">
      <c r="A521" s="51" t="str">
        <v>T2</v>
      </c>
      <c r="B521" s="51" t="str">
        <v>C50</v>
      </c>
      <c r="C521" s="5" t="str">
        <f>'Item Categories'!C20</f>
        <v>HYD_Pipe Insulation</v>
      </c>
      <c r="D521" s="5" t="str">
        <v>MEC_Duct Insulation</v>
      </c>
      <c r="E521" s="5" t="str">
        <f t="shared" si="23"/>
        <v>NL-C50-HYD_Pipe Insulation vs MEC_Duct Insulation</v>
      </c>
    </row>
    <row r="522" spans="1:5" x14ac:dyDescent="0.25">
      <c r="A522" s="51" t="str">
        <v>T2</v>
      </c>
      <c r="B522" s="51" t="str">
        <v>C50</v>
      </c>
      <c r="C522" s="5" t="str">
        <f>'Item Categories'!C20</f>
        <v>HYD_Pipe Insulation</v>
      </c>
      <c r="D522" s="5" t="str">
        <v>MEC_Pipe Insulation</v>
      </c>
      <c r="E522" s="5" t="str">
        <f t="shared" si="23"/>
        <v>NL-C50-HYD_Pipe Insulation vs MEC_Pipe Insulation</v>
      </c>
    </row>
    <row r="523" spans="1:5" x14ac:dyDescent="0.25">
      <c r="A523" s="51" t="str">
        <v>T2</v>
      </c>
      <c r="B523" s="51" t="str">
        <v>C50</v>
      </c>
      <c r="C523" s="5" t="str">
        <f>'Item Categories'!C20</f>
        <v>HYD_Pipe Insulation</v>
      </c>
      <c r="D523" s="5" t="str">
        <v>MEC_Uninsulated Pipes and Acc</v>
      </c>
      <c r="E523" s="5" t="str">
        <f t="shared" si="23"/>
        <v>NL-C50-HYD_Pipe Insulation vs MEC_Uninsulated Pipes and Acc</v>
      </c>
    </row>
    <row r="524" spans="1:5" x14ac:dyDescent="0.25">
      <c r="A524" s="51" t="str">
        <v>T2</v>
      </c>
      <c r="B524" s="51" t="str">
        <v>C50</v>
      </c>
      <c r="C524" s="5" t="str">
        <f>'Item Categories'!C20</f>
        <v>HYD_Pipe Insulation</v>
      </c>
      <c r="D524" s="5" t="str">
        <v>MEC_Uninulated Flexi duct</v>
      </c>
      <c r="E524" s="5" t="str">
        <f t="shared" si="23"/>
        <v>NL-C50-HYD_Pipe Insulation vs MEC_Uninulated Flexi duct</v>
      </c>
    </row>
    <row r="525" spans="1:5" x14ac:dyDescent="0.25">
      <c r="A525" s="51" t="str">
        <v>T2</v>
      </c>
      <c r="B525" s="51" t="str">
        <v>C50</v>
      </c>
      <c r="C525" s="5" t="str">
        <f>'Item Categories'!C20</f>
        <v>HYD_Pipe Insulation</v>
      </c>
      <c r="D525" s="5" t="str">
        <v>MEC_Equipment</v>
      </c>
      <c r="E525" s="5" t="str">
        <f t="shared" si="23"/>
        <v>NL-C50-HYD_Pipe Insulation vs MEC_Equipment</v>
      </c>
    </row>
    <row r="526" spans="1:5" x14ac:dyDescent="0.25">
      <c r="A526" s="51" t="str">
        <v>T2</v>
      </c>
      <c r="B526" s="51" t="str">
        <v>C50</v>
      </c>
      <c r="C526" s="5" t="str">
        <f>'Item Categories'!C20</f>
        <v>HYD_Pipe Insulation</v>
      </c>
      <c r="D526" s="5" t="str">
        <v>ELE_Cable Tray and Fittings</v>
      </c>
      <c r="E526" s="5" t="str">
        <f t="shared" si="23"/>
        <v>NL-C50-HYD_Pipe Insulation vs ELE_Cable Tray and Fittings</v>
      </c>
    </row>
    <row r="527" spans="1:5" x14ac:dyDescent="0.25">
      <c r="A527" s="51" t="str">
        <v>T2</v>
      </c>
      <c r="B527" s="51" t="str">
        <v>C50</v>
      </c>
      <c r="C527" s="5" t="str">
        <f>'Item Categories'!C20</f>
        <v>HYD_Pipe Insulation</v>
      </c>
      <c r="D527" s="5" t="str">
        <v>ELE_Conduit*</v>
      </c>
      <c r="E527" s="5" t="str">
        <f t="shared" si="23"/>
        <v>NL-C50-HYD_Pipe Insulation vs ELE_Conduit*</v>
      </c>
    </row>
    <row r="528" spans="1:5" x14ac:dyDescent="0.25">
      <c r="A528" s="51" t="str">
        <v>T2</v>
      </c>
      <c r="B528" s="51" t="str">
        <v>C50</v>
      </c>
      <c r="C528" s="5" t="str">
        <f>'Item Categories'!C20</f>
        <v>HYD_Pipe Insulation</v>
      </c>
      <c r="D528" s="5" t="str">
        <v>ELE_Electrical Equip.</v>
      </c>
      <c r="E528" s="5" t="str">
        <f t="shared" si="23"/>
        <v>NL-C50-HYD_Pipe Insulation vs ELE_Electrical Equip.</v>
      </c>
    </row>
    <row r="529" spans="1:5" x14ac:dyDescent="0.25">
      <c r="A529" s="51" t="str">
        <v>T2</v>
      </c>
      <c r="B529" s="51" t="str">
        <v>C50</v>
      </c>
      <c r="C529" s="5" t="str">
        <f>'Item Categories'!C20</f>
        <v>HYD_Pipe Insulation</v>
      </c>
      <c r="D529" s="5" t="str">
        <v>ELE_Small Devices</v>
      </c>
      <c r="E529" s="5" t="str">
        <f t="shared" si="23"/>
        <v>NL-C50-HYD_Pipe Insulation vs ELE_Small Devices</v>
      </c>
    </row>
    <row r="530" spans="1:5" x14ac:dyDescent="0.25">
      <c r="A530" s="51" t="str">
        <v>T2</v>
      </c>
      <c r="B530" s="51" t="str">
        <v>C50</v>
      </c>
      <c r="C530" s="5" t="str">
        <f>'Item Categories'!C20</f>
        <v>HYD_Pipe Insulation</v>
      </c>
      <c r="D530" s="5" t="str">
        <v>ELE_Services Lighting Fixtures</v>
      </c>
      <c r="E530" s="5" t="str">
        <f t="shared" si="23"/>
        <v>NL-C50-HYD_Pipe Insulation vs ELE_Services Lighting Fixtures</v>
      </c>
    </row>
    <row r="531" spans="1:5" x14ac:dyDescent="0.25">
      <c r="A531" s="51" t="str">
        <v>T2</v>
      </c>
      <c r="B531" s="51" t="str">
        <v>C50</v>
      </c>
      <c r="C531" s="5" t="str">
        <f>'Item Categories'!C20</f>
        <v>HYD_Pipe Insulation</v>
      </c>
      <c r="D531" s="5" t="str">
        <v>FIR_Fire Pipes</v>
      </c>
      <c r="E531" s="5" t="str">
        <f t="shared" si="23"/>
        <v>NL-C50-HYD_Pipe Insulation vs FIR_Fire Pipes</v>
      </c>
    </row>
    <row r="532" spans="1:5" x14ac:dyDescent="0.25">
      <c r="A532" s="51" t="str">
        <v>T2</v>
      </c>
      <c r="B532" s="51" t="str">
        <v>C50</v>
      </c>
      <c r="C532" s="5" t="str">
        <f>'Item Categories'!C20</f>
        <v>HYD_Pipe Insulation</v>
      </c>
      <c r="D532" s="5" t="str">
        <v>FIR_Sprinklers Heads</v>
      </c>
      <c r="E532" s="5" t="str">
        <f t="shared" si="23"/>
        <v>NL-C50-HYD_Pipe Insulation vs FIR_Sprinklers Heads</v>
      </c>
    </row>
    <row r="533" spans="1:5" x14ac:dyDescent="0.25">
      <c r="A533" s="51" t="str">
        <v>T2</v>
      </c>
      <c r="B533" s="51" t="str">
        <v>C50</v>
      </c>
      <c r="C533" s="5" t="str">
        <f>'Item Categories'!C20</f>
        <v>HYD_Pipe Insulation</v>
      </c>
      <c r="D533" s="5" t="str">
        <v>FIR_Heat or Smoke Detectors</v>
      </c>
      <c r="E533" s="5" t="str">
        <f t="shared" si="23"/>
        <v>NL-C50-HYD_Pipe Insulation vs FIR_Heat or Smoke Detectors</v>
      </c>
    </row>
    <row r="534" spans="1:5" x14ac:dyDescent="0.25">
      <c r="A534" s="51" cm="1">
        <f t="array" ref="A534:A551">TRANSPOSE('Clash Matrix (Update to suit)'!V40:AM40)</f>
        <v>0</v>
      </c>
      <c r="B534" s="51" cm="1">
        <f t="array" ref="B534:B551">TRANSPOSE('Clash Matrix (Update to suit)'!V41:AM41)</f>
        <v>0</v>
      </c>
      <c r="C534" s="5" t="str">
        <f>'Item Categories'!C21</f>
        <v>HYD_Uninsulated Hot and Cold Pipes and Acc</v>
      </c>
      <c r="D534" s="5" t="str" cm="1">
        <f t="array" ref="D534:D551">TRANSPOSE('Clash Matrix (Update to suit)'!V1:AM1)</f>
        <v>HYD_Uninsulated Hot and Cold Pipes and Acc</v>
      </c>
      <c r="E534" s="5" t="str">
        <f t="shared" ref="E534:E551" si="24">"NL-"&amp;B534&amp; "-"&amp; C534&amp;" vs "&amp;D534</f>
        <v>NL-0-HYD_Uninsulated Hot and Cold Pipes and Acc vs HYD_Uninsulated Hot and Cold Pipes and Acc</v>
      </c>
    </row>
    <row r="535" spans="1:5" x14ac:dyDescent="0.25">
      <c r="A535" s="51" t="str">
        <v>T2</v>
      </c>
      <c r="B535" s="51" t="str">
        <v>C50</v>
      </c>
      <c r="C535" s="5" t="str">
        <f>'Item Categories'!C21</f>
        <v>HYD_Uninsulated Hot and Cold Pipes and Acc</v>
      </c>
      <c r="D535" s="5" t="str">
        <v>HYD_Hot and Cold Insulation</v>
      </c>
      <c r="E535" s="5" t="str">
        <f t="shared" si="24"/>
        <v>NL-C50-HYD_Uninsulated Hot and Cold Pipes and Acc vs HYD_Hot and Cold Insulation</v>
      </c>
    </row>
    <row r="536" spans="1:5" x14ac:dyDescent="0.25">
      <c r="A536" s="51" t="str">
        <v>T2</v>
      </c>
      <c r="B536" s="51" t="str">
        <v>C50</v>
      </c>
      <c r="C536" s="5" t="str">
        <f>'Item Categories'!C21</f>
        <v>HYD_Uninsulated Hot and Cold Pipes and Acc</v>
      </c>
      <c r="D536" s="5" t="str">
        <v>HYD_Plumbing Fixture</v>
      </c>
      <c r="E536" s="5" t="str">
        <f t="shared" si="24"/>
        <v>NL-C50-HYD_Uninsulated Hot and Cold Pipes and Acc vs HYD_Plumbing Fixture</v>
      </c>
    </row>
    <row r="537" spans="1:5" x14ac:dyDescent="0.25">
      <c r="A537" s="51" t="str">
        <v>T2</v>
      </c>
      <c r="B537" s="51" t="str">
        <v>C50</v>
      </c>
      <c r="C537" s="5" t="str">
        <f>'Item Categories'!C21</f>
        <v>HYD_Uninsulated Hot and Cold Pipes and Acc</v>
      </c>
      <c r="D537" s="5" t="str">
        <v>MEC_Air Terminals</v>
      </c>
      <c r="E537" s="5" t="str">
        <f t="shared" si="24"/>
        <v>NL-C50-HYD_Uninsulated Hot and Cold Pipes and Acc vs MEC_Air Terminals</v>
      </c>
    </row>
    <row r="538" spans="1:5" x14ac:dyDescent="0.25">
      <c r="A538" s="51" t="str">
        <v>T2</v>
      </c>
      <c r="B538" s="51" t="str">
        <v>C50</v>
      </c>
      <c r="C538" s="5" t="str">
        <f>'Item Categories'!C21</f>
        <v>HYD_Uninsulated Hot and Cold Pipes and Acc</v>
      </c>
      <c r="D538" s="5" t="str">
        <v>MEC_Uninsulated Duct and Acc</v>
      </c>
      <c r="E538" s="5" t="str">
        <f t="shared" si="24"/>
        <v>NL-C50-HYD_Uninsulated Hot and Cold Pipes and Acc vs MEC_Uninsulated Duct and Acc</v>
      </c>
    </row>
    <row r="539" spans="1:5" x14ac:dyDescent="0.25">
      <c r="A539" s="51" t="str">
        <v>T2</v>
      </c>
      <c r="B539" s="51" t="str">
        <v>C50</v>
      </c>
      <c r="C539" s="5" t="str">
        <f>'Item Categories'!C21</f>
        <v>HYD_Uninsulated Hot and Cold Pipes and Acc</v>
      </c>
      <c r="D539" s="5" t="str">
        <v>MEC_Duct Insulation</v>
      </c>
      <c r="E539" s="5" t="str">
        <f t="shared" si="24"/>
        <v>NL-C50-HYD_Uninsulated Hot and Cold Pipes and Acc vs MEC_Duct Insulation</v>
      </c>
    </row>
    <row r="540" spans="1:5" x14ac:dyDescent="0.25">
      <c r="A540" s="51" t="str">
        <v>T2</v>
      </c>
      <c r="B540" s="51" t="str">
        <v>C50</v>
      </c>
      <c r="C540" s="5" t="str">
        <f>'Item Categories'!C21</f>
        <v>HYD_Uninsulated Hot and Cold Pipes and Acc</v>
      </c>
      <c r="D540" s="5" t="str">
        <v>MEC_Pipe Insulation</v>
      </c>
      <c r="E540" s="5" t="str">
        <f t="shared" si="24"/>
        <v>NL-C50-HYD_Uninsulated Hot and Cold Pipes and Acc vs MEC_Pipe Insulation</v>
      </c>
    </row>
    <row r="541" spans="1:5" x14ac:dyDescent="0.25">
      <c r="A541" s="51" t="str">
        <v>T2</v>
      </c>
      <c r="B541" s="51" t="str">
        <v>C50</v>
      </c>
      <c r="C541" s="5" t="str">
        <f>'Item Categories'!C21</f>
        <v>HYD_Uninsulated Hot and Cold Pipes and Acc</v>
      </c>
      <c r="D541" s="5" t="str">
        <v>MEC_Uninsulated Pipes and Acc</v>
      </c>
      <c r="E541" s="5" t="str">
        <f t="shared" si="24"/>
        <v>NL-C50-HYD_Uninsulated Hot and Cold Pipes and Acc vs MEC_Uninsulated Pipes and Acc</v>
      </c>
    </row>
    <row r="542" spans="1:5" x14ac:dyDescent="0.25">
      <c r="A542" s="51" t="str">
        <v>T2</v>
      </c>
      <c r="B542" s="51" t="str">
        <v>C50</v>
      </c>
      <c r="C542" s="5" t="str">
        <f>'Item Categories'!C21</f>
        <v>HYD_Uninsulated Hot and Cold Pipes and Acc</v>
      </c>
      <c r="D542" s="5" t="str">
        <v>MEC_Uninulated Flexi duct</v>
      </c>
      <c r="E542" s="5" t="str">
        <f t="shared" si="24"/>
        <v>NL-C50-HYD_Uninsulated Hot and Cold Pipes and Acc vs MEC_Uninulated Flexi duct</v>
      </c>
    </row>
    <row r="543" spans="1:5" x14ac:dyDescent="0.25">
      <c r="A543" s="51" t="str">
        <v>T2</v>
      </c>
      <c r="B543" s="51" t="str">
        <v>C50</v>
      </c>
      <c r="C543" s="5" t="str">
        <f>'Item Categories'!C21</f>
        <v>HYD_Uninsulated Hot and Cold Pipes and Acc</v>
      </c>
      <c r="D543" s="5" t="str">
        <v>MEC_Equipment</v>
      </c>
      <c r="E543" s="5" t="str">
        <f t="shared" si="24"/>
        <v>NL-C50-HYD_Uninsulated Hot and Cold Pipes and Acc vs MEC_Equipment</v>
      </c>
    </row>
    <row r="544" spans="1:5" x14ac:dyDescent="0.25">
      <c r="A544" s="51" t="str">
        <v>T2</v>
      </c>
      <c r="B544" s="51" t="str">
        <v>C50</v>
      </c>
      <c r="C544" s="5" t="str">
        <f>'Item Categories'!C21</f>
        <v>HYD_Uninsulated Hot and Cold Pipes and Acc</v>
      </c>
      <c r="D544" s="5" t="str">
        <v>ELE_Cable Tray and Fittings</v>
      </c>
      <c r="E544" s="5" t="str">
        <f t="shared" si="24"/>
        <v>NL-C50-HYD_Uninsulated Hot and Cold Pipes and Acc vs ELE_Cable Tray and Fittings</v>
      </c>
    </row>
    <row r="545" spans="1:5" x14ac:dyDescent="0.25">
      <c r="A545" s="51" t="str">
        <v>T2</v>
      </c>
      <c r="B545" s="51" t="str">
        <v>C50</v>
      </c>
      <c r="C545" s="5" t="str">
        <f>'Item Categories'!C21</f>
        <v>HYD_Uninsulated Hot and Cold Pipes and Acc</v>
      </c>
      <c r="D545" s="5" t="str">
        <v>ELE_Conduit*</v>
      </c>
      <c r="E545" s="5" t="str">
        <f t="shared" si="24"/>
        <v>NL-C50-HYD_Uninsulated Hot and Cold Pipes and Acc vs ELE_Conduit*</v>
      </c>
    </row>
    <row r="546" spans="1:5" x14ac:dyDescent="0.25">
      <c r="A546" s="51" t="str">
        <v>T2</v>
      </c>
      <c r="B546" s="51" t="str">
        <v>C50</v>
      </c>
      <c r="C546" s="5" t="str">
        <f>'Item Categories'!C21</f>
        <v>HYD_Uninsulated Hot and Cold Pipes and Acc</v>
      </c>
      <c r="D546" s="5" t="str">
        <v>ELE_Electrical Equip.</v>
      </c>
      <c r="E546" s="5" t="str">
        <f t="shared" si="24"/>
        <v>NL-C50-HYD_Uninsulated Hot and Cold Pipes and Acc vs ELE_Electrical Equip.</v>
      </c>
    </row>
    <row r="547" spans="1:5" x14ac:dyDescent="0.25">
      <c r="A547" s="51" t="str">
        <v>T2</v>
      </c>
      <c r="B547" s="51" t="str">
        <v>C50</v>
      </c>
      <c r="C547" s="5" t="str">
        <f>'Item Categories'!C21</f>
        <v>HYD_Uninsulated Hot and Cold Pipes and Acc</v>
      </c>
      <c r="D547" s="5" t="str">
        <v>ELE_Small Devices</v>
      </c>
      <c r="E547" s="5" t="str">
        <f t="shared" si="24"/>
        <v>NL-C50-HYD_Uninsulated Hot and Cold Pipes and Acc vs ELE_Small Devices</v>
      </c>
    </row>
    <row r="548" spans="1:5" x14ac:dyDescent="0.25">
      <c r="A548" s="51" t="str">
        <v>T2</v>
      </c>
      <c r="B548" s="51" t="str">
        <v>C50</v>
      </c>
      <c r="C548" s="5" t="str">
        <f>'Item Categories'!C21</f>
        <v>HYD_Uninsulated Hot and Cold Pipes and Acc</v>
      </c>
      <c r="D548" s="5" t="str">
        <v>ELE_Services Lighting Fixtures</v>
      </c>
      <c r="E548" s="5" t="str">
        <f t="shared" si="24"/>
        <v>NL-C50-HYD_Uninsulated Hot and Cold Pipes and Acc vs ELE_Services Lighting Fixtures</v>
      </c>
    </row>
    <row r="549" spans="1:5" x14ac:dyDescent="0.25">
      <c r="A549" s="51" t="str">
        <v>T2</v>
      </c>
      <c r="B549" s="51" t="str">
        <v>C50</v>
      </c>
      <c r="C549" s="5" t="str">
        <f>'Item Categories'!C21</f>
        <v>HYD_Uninsulated Hot and Cold Pipes and Acc</v>
      </c>
      <c r="D549" s="5" t="str">
        <v>FIR_Fire Pipes</v>
      </c>
      <c r="E549" s="5" t="str">
        <f t="shared" si="24"/>
        <v>NL-C50-HYD_Uninsulated Hot and Cold Pipes and Acc vs FIR_Fire Pipes</v>
      </c>
    </row>
    <row r="550" spans="1:5" x14ac:dyDescent="0.25">
      <c r="A550" s="51" t="str">
        <v>T2</v>
      </c>
      <c r="B550" s="51" t="str">
        <v>C50</v>
      </c>
      <c r="C550" s="5" t="str">
        <f>'Item Categories'!C21</f>
        <v>HYD_Uninsulated Hot and Cold Pipes and Acc</v>
      </c>
      <c r="D550" s="5" t="str">
        <v>FIR_Sprinklers Heads</v>
      </c>
      <c r="E550" s="5" t="str">
        <f t="shared" si="24"/>
        <v>NL-C50-HYD_Uninsulated Hot and Cold Pipes and Acc vs FIR_Sprinklers Heads</v>
      </c>
    </row>
    <row r="551" spans="1:5" x14ac:dyDescent="0.25">
      <c r="A551" s="51" t="str">
        <v>T2</v>
      </c>
      <c r="B551" s="51" t="str">
        <v>C50</v>
      </c>
      <c r="C551" s="5" t="str">
        <f>'Item Categories'!C21</f>
        <v>HYD_Uninsulated Hot and Cold Pipes and Acc</v>
      </c>
      <c r="D551" s="5" t="str">
        <v>FIR_Heat or Smoke Detectors</v>
      </c>
      <c r="E551" s="5" t="str">
        <f t="shared" si="24"/>
        <v>NL-C50-HYD_Uninsulated Hot and Cold Pipes and Acc vs FIR_Heat or Smoke Detectors</v>
      </c>
    </row>
    <row r="552" spans="1:5" x14ac:dyDescent="0.25">
      <c r="A552" s="51" cm="1">
        <f t="array" ref="A552:A568">TRANSPOSE('Clash Matrix (Update to suit)'!W42:AM42)</f>
        <v>0</v>
      </c>
      <c r="B552" s="51" cm="1">
        <f t="array" ref="B552:B568">TRANSPOSE('Clash Matrix (Update to suit)'!W43:AM43)</f>
        <v>0</v>
      </c>
      <c r="C552" s="5" t="str">
        <f>'Item Categories'!C22</f>
        <v>HYD_Hot and Cold Insulation</v>
      </c>
      <c r="D552" s="5" t="str" cm="1">
        <f t="array" ref="D552:D568">TRANSPOSE('Clash Matrix (Update to suit)'!W1:AM1)</f>
        <v>HYD_Hot and Cold Insulation</v>
      </c>
      <c r="E552" s="5" t="str">
        <f t="shared" ref="E552:E583" si="25">"NL-"&amp;B552&amp; "-"&amp; C552&amp;" vs "&amp;D552</f>
        <v>NL-0-HYD_Hot and Cold Insulation vs HYD_Hot and Cold Insulation</v>
      </c>
    </row>
    <row r="553" spans="1:5" x14ac:dyDescent="0.25">
      <c r="A553" s="51" t="str">
        <v>T2</v>
      </c>
      <c r="B553" s="51" t="str">
        <v>C50</v>
      </c>
      <c r="C553" s="5" t="str">
        <f>'Item Categories'!C22</f>
        <v>HYD_Hot and Cold Insulation</v>
      </c>
      <c r="D553" s="5" t="str">
        <v>HYD_Plumbing Fixture</v>
      </c>
      <c r="E553" s="5" t="str">
        <f t="shared" si="25"/>
        <v>NL-C50-HYD_Hot and Cold Insulation vs HYD_Plumbing Fixture</v>
      </c>
    </row>
    <row r="554" spans="1:5" x14ac:dyDescent="0.25">
      <c r="A554" s="51" t="str">
        <v>T2</v>
      </c>
      <c r="B554" s="51" t="str">
        <v>C50</v>
      </c>
      <c r="C554" s="5" t="str">
        <f>'Item Categories'!C22</f>
        <v>HYD_Hot and Cold Insulation</v>
      </c>
      <c r="D554" s="5" t="str">
        <v>MEC_Air Terminals</v>
      </c>
      <c r="E554" s="5" t="str">
        <f t="shared" si="25"/>
        <v>NL-C50-HYD_Hot and Cold Insulation vs MEC_Air Terminals</v>
      </c>
    </row>
    <row r="555" spans="1:5" x14ac:dyDescent="0.25">
      <c r="A555" s="51" t="str">
        <v>T2</v>
      </c>
      <c r="B555" s="51" t="str">
        <v>C50</v>
      </c>
      <c r="C555" s="5" t="str">
        <f>'Item Categories'!C22</f>
        <v>HYD_Hot and Cold Insulation</v>
      </c>
      <c r="D555" s="5" t="str">
        <v>MEC_Uninsulated Duct and Acc</v>
      </c>
      <c r="E555" s="5" t="str">
        <f t="shared" si="25"/>
        <v>NL-C50-HYD_Hot and Cold Insulation vs MEC_Uninsulated Duct and Acc</v>
      </c>
    </row>
    <row r="556" spans="1:5" x14ac:dyDescent="0.25">
      <c r="A556" s="51" t="str">
        <v>T2</v>
      </c>
      <c r="B556" s="51" t="str">
        <v>C50</v>
      </c>
      <c r="C556" s="5" t="str">
        <f>'Item Categories'!C22</f>
        <v>HYD_Hot and Cold Insulation</v>
      </c>
      <c r="D556" s="5" t="str">
        <v>MEC_Duct Insulation</v>
      </c>
      <c r="E556" s="5" t="str">
        <f t="shared" si="25"/>
        <v>NL-C50-HYD_Hot and Cold Insulation vs MEC_Duct Insulation</v>
      </c>
    </row>
    <row r="557" spans="1:5" x14ac:dyDescent="0.25">
      <c r="A557" s="51" t="str">
        <v>T2</v>
      </c>
      <c r="B557" s="51" t="str">
        <v>C50</v>
      </c>
      <c r="C557" s="5" t="str">
        <f>'Item Categories'!C22</f>
        <v>HYD_Hot and Cold Insulation</v>
      </c>
      <c r="D557" s="5" t="str">
        <v>MEC_Pipe Insulation</v>
      </c>
      <c r="E557" s="5" t="str">
        <f t="shared" si="25"/>
        <v>NL-C50-HYD_Hot and Cold Insulation vs MEC_Pipe Insulation</v>
      </c>
    </row>
    <row r="558" spans="1:5" x14ac:dyDescent="0.25">
      <c r="A558" s="51" t="str">
        <v>T2</v>
      </c>
      <c r="B558" s="51" t="str">
        <v>C50</v>
      </c>
      <c r="C558" s="5" t="str">
        <f>'Item Categories'!C22</f>
        <v>HYD_Hot and Cold Insulation</v>
      </c>
      <c r="D558" s="5" t="str">
        <v>MEC_Uninsulated Pipes and Acc</v>
      </c>
      <c r="E558" s="5" t="str">
        <f t="shared" si="25"/>
        <v>NL-C50-HYD_Hot and Cold Insulation vs MEC_Uninsulated Pipes and Acc</v>
      </c>
    </row>
    <row r="559" spans="1:5" x14ac:dyDescent="0.25">
      <c r="A559" s="51" t="str">
        <v>T2</v>
      </c>
      <c r="B559" s="51" t="str">
        <v>C50</v>
      </c>
      <c r="C559" s="5" t="str">
        <f>'Item Categories'!C22</f>
        <v>HYD_Hot and Cold Insulation</v>
      </c>
      <c r="D559" s="5" t="str">
        <v>MEC_Uninulated Flexi duct</v>
      </c>
      <c r="E559" s="5" t="str">
        <f t="shared" si="25"/>
        <v>NL-C50-HYD_Hot and Cold Insulation vs MEC_Uninulated Flexi duct</v>
      </c>
    </row>
    <row r="560" spans="1:5" x14ac:dyDescent="0.25">
      <c r="A560" s="51" t="str">
        <v>T2</v>
      </c>
      <c r="B560" s="51" t="str">
        <v>C50</v>
      </c>
      <c r="C560" s="5" t="str">
        <f>'Item Categories'!C22</f>
        <v>HYD_Hot and Cold Insulation</v>
      </c>
      <c r="D560" s="5" t="str">
        <v>MEC_Equipment</v>
      </c>
      <c r="E560" s="5" t="str">
        <f t="shared" si="25"/>
        <v>NL-C50-HYD_Hot and Cold Insulation vs MEC_Equipment</v>
      </c>
    </row>
    <row r="561" spans="1:5" x14ac:dyDescent="0.25">
      <c r="A561" s="51" t="str">
        <v>T2</v>
      </c>
      <c r="B561" s="51" t="str">
        <v>C50</v>
      </c>
      <c r="C561" s="5" t="str">
        <f>'Item Categories'!C22</f>
        <v>HYD_Hot and Cold Insulation</v>
      </c>
      <c r="D561" s="5" t="str">
        <v>ELE_Cable Tray and Fittings</v>
      </c>
      <c r="E561" s="5" t="str">
        <f t="shared" si="25"/>
        <v>NL-C50-HYD_Hot and Cold Insulation vs ELE_Cable Tray and Fittings</v>
      </c>
    </row>
    <row r="562" spans="1:5" x14ac:dyDescent="0.25">
      <c r="A562" s="51" t="str">
        <v>T2</v>
      </c>
      <c r="B562" s="51" t="str">
        <v>C50</v>
      </c>
      <c r="C562" s="5" t="str">
        <f>'Item Categories'!C22</f>
        <v>HYD_Hot and Cold Insulation</v>
      </c>
      <c r="D562" s="5" t="str">
        <v>ELE_Conduit*</v>
      </c>
      <c r="E562" s="5" t="str">
        <f t="shared" si="25"/>
        <v>NL-C50-HYD_Hot and Cold Insulation vs ELE_Conduit*</v>
      </c>
    </row>
    <row r="563" spans="1:5" x14ac:dyDescent="0.25">
      <c r="A563" s="51" t="str">
        <v>T2</v>
      </c>
      <c r="B563" s="51" t="str">
        <v>C50</v>
      </c>
      <c r="C563" s="5" t="str">
        <f>'Item Categories'!C22</f>
        <v>HYD_Hot and Cold Insulation</v>
      </c>
      <c r="D563" s="5" t="str">
        <v>ELE_Electrical Equip.</v>
      </c>
      <c r="E563" s="5" t="str">
        <f t="shared" si="25"/>
        <v>NL-C50-HYD_Hot and Cold Insulation vs ELE_Electrical Equip.</v>
      </c>
    </row>
    <row r="564" spans="1:5" x14ac:dyDescent="0.25">
      <c r="A564" s="51" t="str">
        <v>T2</v>
      </c>
      <c r="B564" s="51" t="str">
        <v>C50</v>
      </c>
      <c r="C564" s="5" t="str">
        <f>'Item Categories'!C22</f>
        <v>HYD_Hot and Cold Insulation</v>
      </c>
      <c r="D564" s="5" t="str">
        <v>ELE_Small Devices</v>
      </c>
      <c r="E564" s="5" t="str">
        <f t="shared" si="25"/>
        <v>NL-C50-HYD_Hot and Cold Insulation vs ELE_Small Devices</v>
      </c>
    </row>
    <row r="565" spans="1:5" x14ac:dyDescent="0.25">
      <c r="A565" s="51" t="str">
        <v>T2</v>
      </c>
      <c r="B565" s="51" t="str">
        <v>C50</v>
      </c>
      <c r="C565" s="5" t="str">
        <f>'Item Categories'!C22</f>
        <v>HYD_Hot and Cold Insulation</v>
      </c>
      <c r="D565" s="5" t="str">
        <v>ELE_Services Lighting Fixtures</v>
      </c>
      <c r="E565" s="5" t="str">
        <f t="shared" si="25"/>
        <v>NL-C50-HYD_Hot and Cold Insulation vs ELE_Services Lighting Fixtures</v>
      </c>
    </row>
    <row r="566" spans="1:5" x14ac:dyDescent="0.25">
      <c r="A566" s="51" t="str">
        <v>T2</v>
      </c>
      <c r="B566" s="51" t="str">
        <v>C50</v>
      </c>
      <c r="C566" s="5" t="str">
        <f>'Item Categories'!C22</f>
        <v>HYD_Hot and Cold Insulation</v>
      </c>
      <c r="D566" s="5" t="str">
        <v>FIR_Fire Pipes</v>
      </c>
      <c r="E566" s="5" t="str">
        <f t="shared" si="25"/>
        <v>NL-C50-HYD_Hot and Cold Insulation vs FIR_Fire Pipes</v>
      </c>
    </row>
    <row r="567" spans="1:5" x14ac:dyDescent="0.25">
      <c r="A567" s="51" t="str">
        <v>T2</v>
      </c>
      <c r="B567" s="51" t="str">
        <v>C50</v>
      </c>
      <c r="C567" s="5" t="str">
        <f>'Item Categories'!C22</f>
        <v>HYD_Hot and Cold Insulation</v>
      </c>
      <c r="D567" s="5" t="str">
        <v>FIR_Sprinklers Heads</v>
      </c>
      <c r="E567" s="5" t="str">
        <f t="shared" si="25"/>
        <v>NL-C50-HYD_Hot and Cold Insulation vs FIR_Sprinklers Heads</v>
      </c>
    </row>
    <row r="568" spans="1:5" x14ac:dyDescent="0.25">
      <c r="A568" s="51" t="str">
        <v>T2</v>
      </c>
      <c r="B568" s="51" t="str">
        <v>C50</v>
      </c>
      <c r="C568" s="5" t="str">
        <f>'Item Categories'!C22</f>
        <v>HYD_Hot and Cold Insulation</v>
      </c>
      <c r="D568" s="5" t="str">
        <v>FIR_Heat or Smoke Detectors</v>
      </c>
      <c r="E568" s="5" t="str">
        <f t="shared" si="25"/>
        <v>NL-C50-HYD_Hot and Cold Insulation vs FIR_Heat or Smoke Detectors</v>
      </c>
    </row>
    <row r="569" spans="1:5" x14ac:dyDescent="0.25">
      <c r="A569" s="51" cm="1">
        <f t="array" ref="A569:A584">TRANSPOSE('Clash Matrix (Update to suit)'!X44:AM44)</f>
        <v>0</v>
      </c>
      <c r="B569" s="51" cm="1">
        <f t="array" ref="B569:B584">TRANSPOSE('Clash Matrix (Update to suit)'!X45:AM45)</f>
        <v>0</v>
      </c>
      <c r="C569" s="5" t="s">
        <v>178</v>
      </c>
      <c r="D569" s="5" t="str" cm="1">
        <f t="array" ref="D569:D584">TRANSPOSE('Clash Matrix (Update to suit)'!X1:AM1)</f>
        <v>HYD_Plumbing Fixture</v>
      </c>
      <c r="E569" s="5" t="str">
        <f t="shared" si="25"/>
        <v>NL-0-HYD_ Plumbing Fixture vs HYD_Plumbing Fixture</v>
      </c>
    </row>
    <row r="570" spans="1:5" x14ac:dyDescent="0.25">
      <c r="A570" s="51" t="str">
        <v>T2</v>
      </c>
      <c r="B570" s="51" t="str">
        <v>C50</v>
      </c>
      <c r="C570" s="5" t="s">
        <v>178</v>
      </c>
      <c r="D570" s="5" t="str">
        <v>MEC_Air Terminals</v>
      </c>
      <c r="E570" s="5" t="str">
        <f t="shared" si="25"/>
        <v>NL-C50-HYD_ Plumbing Fixture vs MEC_Air Terminals</v>
      </c>
    </row>
    <row r="571" spans="1:5" x14ac:dyDescent="0.25">
      <c r="A571" s="51" t="str">
        <v>T2</v>
      </c>
      <c r="B571" s="51" t="str">
        <v>C50</v>
      </c>
      <c r="C571" s="5" t="s">
        <v>178</v>
      </c>
      <c r="D571" s="5" t="str">
        <v>MEC_Uninsulated Duct and Acc</v>
      </c>
      <c r="E571" s="5" t="str">
        <f t="shared" si="25"/>
        <v>NL-C50-HYD_ Plumbing Fixture vs MEC_Uninsulated Duct and Acc</v>
      </c>
    </row>
    <row r="572" spans="1:5" x14ac:dyDescent="0.25">
      <c r="A572" s="51" t="str">
        <v>T2</v>
      </c>
      <c r="B572" s="51" t="str">
        <v>C50</v>
      </c>
      <c r="C572" s="5" t="s">
        <v>178</v>
      </c>
      <c r="D572" s="5" t="str">
        <v>MEC_Duct Insulation</v>
      </c>
      <c r="E572" s="5" t="str">
        <f t="shared" si="25"/>
        <v>NL-C50-HYD_ Plumbing Fixture vs MEC_Duct Insulation</v>
      </c>
    </row>
    <row r="573" spans="1:5" x14ac:dyDescent="0.25">
      <c r="A573" s="51" t="str">
        <v>T2</v>
      </c>
      <c r="B573" s="51" t="str">
        <v>C50</v>
      </c>
      <c r="C573" s="5" t="s">
        <v>178</v>
      </c>
      <c r="D573" s="5" t="str">
        <v>MEC_Pipe Insulation</v>
      </c>
      <c r="E573" s="5" t="str">
        <f t="shared" si="25"/>
        <v>NL-C50-HYD_ Plumbing Fixture vs MEC_Pipe Insulation</v>
      </c>
    </row>
    <row r="574" spans="1:5" x14ac:dyDescent="0.25">
      <c r="A574" s="51" t="str">
        <v>T2</v>
      </c>
      <c r="B574" s="51" t="str">
        <v>C50</v>
      </c>
      <c r="C574" s="5" t="s">
        <v>178</v>
      </c>
      <c r="D574" s="5" t="str">
        <v>MEC_Uninsulated Pipes and Acc</v>
      </c>
      <c r="E574" s="5" t="str">
        <f t="shared" si="25"/>
        <v>NL-C50-HYD_ Plumbing Fixture vs MEC_Uninsulated Pipes and Acc</v>
      </c>
    </row>
    <row r="575" spans="1:5" x14ac:dyDescent="0.25">
      <c r="A575" s="51" t="str">
        <v>T2</v>
      </c>
      <c r="B575" s="51" t="str">
        <v>C50</v>
      </c>
      <c r="C575" s="5" t="s">
        <v>178</v>
      </c>
      <c r="D575" s="5" t="str">
        <v>MEC_Uninulated Flexi duct</v>
      </c>
      <c r="E575" s="5" t="str">
        <f t="shared" si="25"/>
        <v>NL-C50-HYD_ Plumbing Fixture vs MEC_Uninulated Flexi duct</v>
      </c>
    </row>
    <row r="576" spans="1:5" x14ac:dyDescent="0.25">
      <c r="A576" s="51" t="str">
        <v>T2</v>
      </c>
      <c r="B576" s="51" t="str">
        <v>C50</v>
      </c>
      <c r="C576" s="5" t="s">
        <v>178</v>
      </c>
      <c r="D576" s="5" t="str">
        <v>MEC_Equipment</v>
      </c>
      <c r="E576" s="5" t="str">
        <f t="shared" si="25"/>
        <v>NL-C50-HYD_ Plumbing Fixture vs MEC_Equipment</v>
      </c>
    </row>
    <row r="577" spans="1:5" x14ac:dyDescent="0.25">
      <c r="A577" s="51" t="str">
        <v>T2</v>
      </c>
      <c r="B577" s="51" t="str">
        <v>C50</v>
      </c>
      <c r="C577" s="5" t="s">
        <v>178</v>
      </c>
      <c r="D577" s="5" t="str">
        <v>ELE_Cable Tray and Fittings</v>
      </c>
      <c r="E577" s="5" t="str">
        <f t="shared" si="25"/>
        <v>NL-C50-HYD_ Plumbing Fixture vs ELE_Cable Tray and Fittings</v>
      </c>
    </row>
    <row r="578" spans="1:5" x14ac:dyDescent="0.25">
      <c r="A578" s="51" t="str">
        <v>T2</v>
      </c>
      <c r="B578" s="51" t="str">
        <v>C50</v>
      </c>
      <c r="C578" s="5" t="s">
        <v>178</v>
      </c>
      <c r="D578" s="5" t="str">
        <v>ELE_Conduit*</v>
      </c>
      <c r="E578" s="5" t="str">
        <f t="shared" si="25"/>
        <v>NL-C50-HYD_ Plumbing Fixture vs ELE_Conduit*</v>
      </c>
    </row>
    <row r="579" spans="1:5" x14ac:dyDescent="0.25">
      <c r="A579" s="51" t="str">
        <v>T2</v>
      </c>
      <c r="B579" s="51" t="str">
        <v>C50</v>
      </c>
      <c r="C579" s="5" t="s">
        <v>178</v>
      </c>
      <c r="D579" s="5" t="str">
        <v>ELE_Electrical Equip.</v>
      </c>
      <c r="E579" s="5" t="str">
        <f t="shared" si="25"/>
        <v>NL-C50-HYD_ Plumbing Fixture vs ELE_Electrical Equip.</v>
      </c>
    </row>
    <row r="580" spans="1:5" x14ac:dyDescent="0.25">
      <c r="A580" s="51" t="str">
        <v>T2</v>
      </c>
      <c r="B580" s="51" t="str">
        <v>C50</v>
      </c>
      <c r="C580" s="5" t="s">
        <v>178</v>
      </c>
      <c r="D580" s="5" t="str">
        <v>ELE_Small Devices</v>
      </c>
      <c r="E580" s="5" t="str">
        <f t="shared" si="25"/>
        <v>NL-C50-HYD_ Plumbing Fixture vs ELE_Small Devices</v>
      </c>
    </row>
    <row r="581" spans="1:5" x14ac:dyDescent="0.25">
      <c r="A581" s="51" t="str">
        <v>T2</v>
      </c>
      <c r="B581" s="51" t="str">
        <v>C50</v>
      </c>
      <c r="C581" s="5" t="s">
        <v>178</v>
      </c>
      <c r="D581" s="5" t="str">
        <v>ELE_Services Lighting Fixtures</v>
      </c>
      <c r="E581" s="5" t="str">
        <f t="shared" si="25"/>
        <v>NL-C50-HYD_ Plumbing Fixture vs ELE_Services Lighting Fixtures</v>
      </c>
    </row>
    <row r="582" spans="1:5" x14ac:dyDescent="0.25">
      <c r="A582" s="51" t="str">
        <v>T2</v>
      </c>
      <c r="B582" s="51" t="str">
        <v>C50</v>
      </c>
      <c r="C582" s="5" t="s">
        <v>178</v>
      </c>
      <c r="D582" s="5" t="str">
        <v>FIR_Fire Pipes</v>
      </c>
      <c r="E582" s="5" t="str">
        <f t="shared" si="25"/>
        <v>NL-C50-HYD_ Plumbing Fixture vs FIR_Fire Pipes</v>
      </c>
    </row>
    <row r="583" spans="1:5" x14ac:dyDescent="0.25">
      <c r="A583" s="51" t="str">
        <v>T2</v>
      </c>
      <c r="B583" s="51" t="str">
        <v>C50</v>
      </c>
      <c r="C583" s="5" t="s">
        <v>178</v>
      </c>
      <c r="D583" s="5" t="str">
        <v>FIR_Sprinklers Heads</v>
      </c>
      <c r="E583" s="5" t="str">
        <f t="shared" si="25"/>
        <v>NL-C50-HYD_ Plumbing Fixture vs FIR_Sprinklers Heads</v>
      </c>
    </row>
    <row r="584" spans="1:5" x14ac:dyDescent="0.25">
      <c r="A584" s="51" t="str">
        <v>T2</v>
      </c>
      <c r="B584" s="51" t="str">
        <v>C50</v>
      </c>
      <c r="C584" s="5" t="s">
        <v>178</v>
      </c>
      <c r="D584" s="5" t="str">
        <v>FIR_Heat or Smoke Detectors</v>
      </c>
      <c r="E584" s="5" t="str">
        <f t="shared" ref="E584:E601" si="26">"NL-"&amp;B584&amp; "-"&amp; C584&amp;" vs "&amp;D584</f>
        <v>NL-C50-HYD_ Plumbing Fixture vs FIR_Heat or Smoke Detectors</v>
      </c>
    </row>
    <row r="585" spans="1:5" x14ac:dyDescent="0.25">
      <c r="A585" s="51" cm="1">
        <f t="array" ref="A585:A599">TRANSPOSE('Clash Matrix (Update to suit)'!Y46:AM46)</f>
        <v>0</v>
      </c>
      <c r="B585" s="51" cm="1">
        <f t="array" ref="B585:B599">TRANSPOSE('Clash Matrix (Update to suit)'!Y47:AM47)</f>
        <v>0</v>
      </c>
      <c r="C585" s="5" t="s">
        <v>105</v>
      </c>
      <c r="D585" s="5" t="str" cm="1">
        <f t="array" ref="D585:D599">TRANSPOSE('Clash Matrix (Update to suit)'!Y1:AM1)</f>
        <v>MEC_Air Terminals</v>
      </c>
      <c r="E585" s="5" t="str">
        <f t="shared" si="26"/>
        <v>NL-0-MEC_Air Terminals vs MEC_Air Terminals</v>
      </c>
    </row>
    <row r="586" spans="1:5" x14ac:dyDescent="0.25">
      <c r="A586" s="51" t="str">
        <v>T2</v>
      </c>
      <c r="B586" s="51" t="str">
        <v>C50</v>
      </c>
      <c r="C586" s="5" t="s">
        <v>105</v>
      </c>
      <c r="D586" s="5" t="str">
        <v>MEC_Uninsulated Duct and Acc</v>
      </c>
      <c r="E586" s="5" t="str">
        <f t="shared" si="26"/>
        <v>NL-C50-MEC_Air Terminals vs MEC_Uninsulated Duct and Acc</v>
      </c>
    </row>
    <row r="587" spans="1:5" x14ac:dyDescent="0.25">
      <c r="A587" s="51" t="str">
        <v>T2</v>
      </c>
      <c r="B587" s="51" t="str">
        <v>C50</v>
      </c>
      <c r="C587" s="5" t="s">
        <v>105</v>
      </c>
      <c r="D587" s="5" t="str">
        <v>MEC_Duct Insulation</v>
      </c>
      <c r="E587" s="5" t="str">
        <f t="shared" si="26"/>
        <v>NL-C50-MEC_Air Terminals vs MEC_Duct Insulation</v>
      </c>
    </row>
    <row r="588" spans="1:5" x14ac:dyDescent="0.25">
      <c r="A588" s="51" t="str">
        <v>T2</v>
      </c>
      <c r="B588" s="51" t="str">
        <v>C50</v>
      </c>
      <c r="C588" s="5" t="s">
        <v>105</v>
      </c>
      <c r="D588" s="5" t="str">
        <v>MEC_Pipe Insulation</v>
      </c>
      <c r="E588" s="5" t="str">
        <f t="shared" si="26"/>
        <v>NL-C50-MEC_Air Terminals vs MEC_Pipe Insulation</v>
      </c>
    </row>
    <row r="589" spans="1:5" x14ac:dyDescent="0.25">
      <c r="A589" s="51" t="str">
        <v>T2</v>
      </c>
      <c r="B589" s="51" t="str">
        <v>C50</v>
      </c>
      <c r="C589" s="5" t="s">
        <v>105</v>
      </c>
      <c r="D589" s="5" t="str">
        <v>MEC_Uninsulated Pipes and Acc</v>
      </c>
      <c r="E589" s="5" t="str">
        <f t="shared" si="26"/>
        <v>NL-C50-MEC_Air Terminals vs MEC_Uninsulated Pipes and Acc</v>
      </c>
    </row>
    <row r="590" spans="1:5" x14ac:dyDescent="0.25">
      <c r="A590" s="51" t="str">
        <v>T2</v>
      </c>
      <c r="B590" s="51" t="str">
        <v>C50</v>
      </c>
      <c r="C590" s="5" t="s">
        <v>105</v>
      </c>
      <c r="D590" s="5" t="str">
        <v>MEC_Uninulated Flexi duct</v>
      </c>
      <c r="E590" s="5" t="str">
        <f t="shared" si="26"/>
        <v>NL-C50-MEC_Air Terminals vs MEC_Uninulated Flexi duct</v>
      </c>
    </row>
    <row r="591" spans="1:5" x14ac:dyDescent="0.25">
      <c r="A591" s="51" t="str">
        <v>T2</v>
      </c>
      <c r="B591" s="51" t="str">
        <v>C50</v>
      </c>
      <c r="C591" s="5" t="s">
        <v>105</v>
      </c>
      <c r="D591" s="5" t="str">
        <v>MEC_Equipment</v>
      </c>
      <c r="E591" s="5" t="str">
        <f t="shared" si="26"/>
        <v>NL-C50-MEC_Air Terminals vs MEC_Equipment</v>
      </c>
    </row>
    <row r="592" spans="1:5" x14ac:dyDescent="0.25">
      <c r="A592" s="51" t="str">
        <v>T2</v>
      </c>
      <c r="B592" s="51" t="str">
        <v>C50</v>
      </c>
      <c r="C592" s="5" t="s">
        <v>105</v>
      </c>
      <c r="D592" s="5" t="str">
        <v>ELE_Cable Tray and Fittings</v>
      </c>
      <c r="E592" s="5" t="str">
        <f t="shared" si="26"/>
        <v>NL-C50-MEC_Air Terminals vs ELE_Cable Tray and Fittings</v>
      </c>
    </row>
    <row r="593" spans="1:5" x14ac:dyDescent="0.25">
      <c r="A593" s="51" t="str">
        <v>T2</v>
      </c>
      <c r="B593" s="51" t="str">
        <v>C50</v>
      </c>
      <c r="C593" s="5" t="s">
        <v>105</v>
      </c>
      <c r="D593" s="5" t="str">
        <v>ELE_Conduit*</v>
      </c>
      <c r="E593" s="5" t="str">
        <f t="shared" si="26"/>
        <v>NL-C50-MEC_Air Terminals vs ELE_Conduit*</v>
      </c>
    </row>
    <row r="594" spans="1:5" x14ac:dyDescent="0.25">
      <c r="A594" s="51" t="str">
        <v>T2</v>
      </c>
      <c r="B594" s="51" t="str">
        <v>C50</v>
      </c>
      <c r="C594" s="5" t="s">
        <v>105</v>
      </c>
      <c r="D594" s="5" t="str">
        <v>ELE_Electrical Equip.</v>
      </c>
      <c r="E594" s="5" t="str">
        <f t="shared" si="26"/>
        <v>NL-C50-MEC_Air Terminals vs ELE_Electrical Equip.</v>
      </c>
    </row>
    <row r="595" spans="1:5" x14ac:dyDescent="0.25">
      <c r="A595" s="51" t="str">
        <v>T2</v>
      </c>
      <c r="B595" s="51" t="str">
        <v>C50</v>
      </c>
      <c r="C595" s="5" t="s">
        <v>105</v>
      </c>
      <c r="D595" s="5" t="str">
        <v>ELE_Small Devices</v>
      </c>
      <c r="E595" s="5" t="str">
        <f t="shared" si="26"/>
        <v>NL-C50-MEC_Air Terminals vs ELE_Small Devices</v>
      </c>
    </row>
    <row r="596" spans="1:5" x14ac:dyDescent="0.25">
      <c r="A596" s="51" t="str">
        <v>T2</v>
      </c>
      <c r="B596" s="51" t="str">
        <v>C50</v>
      </c>
      <c r="C596" s="5" t="s">
        <v>105</v>
      </c>
      <c r="D596" s="5" t="str">
        <v>ELE_Services Lighting Fixtures</v>
      </c>
      <c r="E596" s="5" t="str">
        <f t="shared" si="26"/>
        <v>NL-C50-MEC_Air Terminals vs ELE_Services Lighting Fixtures</v>
      </c>
    </row>
    <row r="597" spans="1:5" x14ac:dyDescent="0.25">
      <c r="A597" s="51" t="str">
        <v>T2</v>
      </c>
      <c r="B597" s="51" t="str">
        <v>C50</v>
      </c>
      <c r="C597" s="5" t="s">
        <v>105</v>
      </c>
      <c r="D597" s="5" t="str">
        <v>FIR_Fire Pipes</v>
      </c>
      <c r="E597" s="5" t="str">
        <f t="shared" si="26"/>
        <v>NL-C50-MEC_Air Terminals vs FIR_Fire Pipes</v>
      </c>
    </row>
    <row r="598" spans="1:5" x14ac:dyDescent="0.25">
      <c r="A598" s="51" t="str">
        <v>T2</v>
      </c>
      <c r="B598" s="51" t="str">
        <v>C50</v>
      </c>
      <c r="C598" s="5" t="s">
        <v>105</v>
      </c>
      <c r="D598" s="5" t="str">
        <v>FIR_Sprinklers Heads</v>
      </c>
      <c r="E598" s="5" t="str">
        <f t="shared" si="26"/>
        <v>NL-C50-MEC_Air Terminals vs FIR_Sprinklers Heads</v>
      </c>
    </row>
    <row r="599" spans="1:5" x14ac:dyDescent="0.25">
      <c r="A599" s="51" t="str">
        <v>T2</v>
      </c>
      <c r="B599" s="51" t="str">
        <v>C1500</v>
      </c>
      <c r="C599" s="5" t="s">
        <v>105</v>
      </c>
      <c r="D599" s="5" t="str">
        <v>FIR_Heat or Smoke Detectors</v>
      </c>
      <c r="E599" s="5" t="str">
        <f t="shared" si="26"/>
        <v>NL-C1500-MEC_Air Terminals vs FIR_Heat or Smoke Detectors</v>
      </c>
    </row>
    <row r="600" spans="1:5" x14ac:dyDescent="0.25">
      <c r="A600" s="51" cm="1">
        <f t="array" ref="A600:A613">TRANSPOSE('Clash Matrix (Update to suit)'!Z48:AM48)</f>
        <v>0</v>
      </c>
      <c r="B600" s="51" cm="1">
        <f t="array" ref="B600:B613">TRANSPOSE('Clash Matrix (Update to suit)'!Z49:AM49)</f>
        <v>0</v>
      </c>
      <c r="C600" s="5" t="str">
        <f>'Item Categories'!C25</f>
        <v>MEC_Uninsulated Duct and Acc</v>
      </c>
      <c r="D600" s="5" t="str" cm="1">
        <f t="array" ref="D600:D613">TRANSPOSE('Clash Matrix (Update to suit)'!Z1:AM1)</f>
        <v>MEC_Uninsulated Duct and Acc</v>
      </c>
      <c r="E600" s="5" t="str">
        <f t="shared" si="26"/>
        <v>NL-0-MEC_Uninsulated Duct and Acc vs MEC_Uninsulated Duct and Acc</v>
      </c>
    </row>
    <row r="601" spans="1:5" x14ac:dyDescent="0.25">
      <c r="A601" s="51" t="str">
        <v>T2</v>
      </c>
      <c r="B601" s="51" t="str">
        <v>C50</v>
      </c>
      <c r="C601" s="5" t="str">
        <f>C600</f>
        <v>MEC_Uninsulated Duct and Acc</v>
      </c>
      <c r="D601" s="5" t="str">
        <v>MEC_Duct Insulation</v>
      </c>
      <c r="E601" s="5" t="str">
        <f t="shared" si="26"/>
        <v>NL-C50-MEC_Uninsulated Duct and Acc vs MEC_Duct Insulation</v>
      </c>
    </row>
    <row r="602" spans="1:5" x14ac:dyDescent="0.25">
      <c r="A602" s="51" t="str">
        <v>T2</v>
      </c>
      <c r="B602" s="51" t="str">
        <v>C50</v>
      </c>
      <c r="C602" s="5" t="str">
        <f t="shared" ref="C602:C613" si="27">C601</f>
        <v>MEC_Uninsulated Duct and Acc</v>
      </c>
      <c r="D602" s="5" t="str">
        <v>MEC_Pipe Insulation</v>
      </c>
      <c r="E602" s="5" t="str">
        <f t="shared" ref="E602:E613" si="28">"NL-"&amp;B602&amp; "-"&amp; C602&amp;" vs "&amp;D602</f>
        <v>NL-C50-MEC_Uninsulated Duct and Acc vs MEC_Pipe Insulation</v>
      </c>
    </row>
    <row r="603" spans="1:5" x14ac:dyDescent="0.25">
      <c r="A603" s="51" t="str">
        <v>T2</v>
      </c>
      <c r="B603" s="51" t="str">
        <v>C50</v>
      </c>
      <c r="C603" s="5" t="str">
        <f t="shared" si="27"/>
        <v>MEC_Uninsulated Duct and Acc</v>
      </c>
      <c r="D603" s="5" t="str">
        <v>MEC_Uninsulated Pipes and Acc</v>
      </c>
      <c r="E603" s="5" t="str">
        <f t="shared" si="28"/>
        <v>NL-C50-MEC_Uninsulated Duct and Acc vs MEC_Uninsulated Pipes and Acc</v>
      </c>
    </row>
    <row r="604" spans="1:5" x14ac:dyDescent="0.25">
      <c r="A604" s="51" t="str">
        <v>T2</v>
      </c>
      <c r="B604" s="51" t="str">
        <v>C50</v>
      </c>
      <c r="C604" s="5" t="str">
        <f t="shared" si="27"/>
        <v>MEC_Uninsulated Duct and Acc</v>
      </c>
      <c r="D604" s="5" t="str">
        <v>MEC_Uninulated Flexi duct</v>
      </c>
      <c r="E604" s="5" t="str">
        <f t="shared" si="28"/>
        <v>NL-C50-MEC_Uninsulated Duct and Acc vs MEC_Uninulated Flexi duct</v>
      </c>
    </row>
    <row r="605" spans="1:5" x14ac:dyDescent="0.25">
      <c r="A605" s="51" t="str">
        <v>T2</v>
      </c>
      <c r="B605" s="51" t="str">
        <v>C50</v>
      </c>
      <c r="C605" s="5" t="str">
        <f t="shared" si="27"/>
        <v>MEC_Uninsulated Duct and Acc</v>
      </c>
      <c r="D605" s="5" t="str">
        <v>MEC_Equipment</v>
      </c>
      <c r="E605" s="5" t="str">
        <f t="shared" si="28"/>
        <v>NL-C50-MEC_Uninsulated Duct and Acc vs MEC_Equipment</v>
      </c>
    </row>
    <row r="606" spans="1:5" x14ac:dyDescent="0.25">
      <c r="A606" s="51" t="str">
        <v>T2</v>
      </c>
      <c r="B606" s="51" t="str">
        <v>C50</v>
      </c>
      <c r="C606" s="5" t="str">
        <f t="shared" si="27"/>
        <v>MEC_Uninsulated Duct and Acc</v>
      </c>
      <c r="D606" s="5" t="str">
        <v>ELE_Cable Tray and Fittings</v>
      </c>
      <c r="E606" s="5" t="str">
        <f t="shared" si="28"/>
        <v>NL-C50-MEC_Uninsulated Duct and Acc vs ELE_Cable Tray and Fittings</v>
      </c>
    </row>
    <row r="607" spans="1:5" x14ac:dyDescent="0.25">
      <c r="A607" s="51" t="str">
        <v>T2</v>
      </c>
      <c r="B607" s="51" t="str">
        <v>C50</v>
      </c>
      <c r="C607" s="5" t="str">
        <f t="shared" si="27"/>
        <v>MEC_Uninsulated Duct and Acc</v>
      </c>
      <c r="D607" s="5" t="str">
        <v>ELE_Conduit*</v>
      </c>
      <c r="E607" s="5" t="str">
        <f t="shared" si="28"/>
        <v>NL-C50-MEC_Uninsulated Duct and Acc vs ELE_Conduit*</v>
      </c>
    </row>
    <row r="608" spans="1:5" x14ac:dyDescent="0.25">
      <c r="A608" s="51" t="str">
        <v>T2</v>
      </c>
      <c r="B608" s="51" t="str">
        <v>C50</v>
      </c>
      <c r="C608" s="5" t="str">
        <f t="shared" si="27"/>
        <v>MEC_Uninsulated Duct and Acc</v>
      </c>
      <c r="D608" s="5" t="str">
        <v>ELE_Electrical Equip.</v>
      </c>
      <c r="E608" s="5" t="str">
        <f t="shared" si="28"/>
        <v>NL-C50-MEC_Uninsulated Duct and Acc vs ELE_Electrical Equip.</v>
      </c>
    </row>
    <row r="609" spans="1:5" x14ac:dyDescent="0.25">
      <c r="A609" s="51" t="str">
        <v>T2</v>
      </c>
      <c r="B609" s="51" t="str">
        <v>C50</v>
      </c>
      <c r="C609" s="5" t="str">
        <f t="shared" si="27"/>
        <v>MEC_Uninsulated Duct and Acc</v>
      </c>
      <c r="D609" s="5" t="str">
        <v>ELE_Small Devices</v>
      </c>
      <c r="E609" s="5" t="str">
        <f t="shared" si="28"/>
        <v>NL-C50-MEC_Uninsulated Duct and Acc vs ELE_Small Devices</v>
      </c>
    </row>
    <row r="610" spans="1:5" x14ac:dyDescent="0.25">
      <c r="A610" s="51" t="str">
        <v>T2</v>
      </c>
      <c r="B610" s="51" t="str">
        <v>C50</v>
      </c>
      <c r="C610" s="5" t="str">
        <f t="shared" si="27"/>
        <v>MEC_Uninsulated Duct and Acc</v>
      </c>
      <c r="D610" s="5" t="str">
        <v>ELE_Services Lighting Fixtures</v>
      </c>
      <c r="E610" s="5" t="str">
        <f t="shared" si="28"/>
        <v>NL-C50-MEC_Uninsulated Duct and Acc vs ELE_Services Lighting Fixtures</v>
      </c>
    </row>
    <row r="611" spans="1:5" x14ac:dyDescent="0.25">
      <c r="A611" s="51" t="str">
        <v>T2</v>
      </c>
      <c r="B611" s="51" t="str">
        <v>C50</v>
      </c>
      <c r="C611" s="5" t="str">
        <f t="shared" si="27"/>
        <v>MEC_Uninsulated Duct and Acc</v>
      </c>
      <c r="D611" s="5" t="str">
        <v>FIR_Fire Pipes</v>
      </c>
      <c r="E611" s="5" t="str">
        <f t="shared" si="28"/>
        <v>NL-C50-MEC_Uninsulated Duct and Acc vs FIR_Fire Pipes</v>
      </c>
    </row>
    <row r="612" spans="1:5" x14ac:dyDescent="0.25">
      <c r="A612" s="51" t="str">
        <v>T2</v>
      </c>
      <c r="B612" s="51" t="str">
        <v>C50</v>
      </c>
      <c r="C612" s="5" t="str">
        <f t="shared" si="27"/>
        <v>MEC_Uninsulated Duct and Acc</v>
      </c>
      <c r="D612" s="5" t="str">
        <v>FIR_Sprinklers Heads</v>
      </c>
      <c r="E612" s="5" t="str">
        <f t="shared" si="28"/>
        <v>NL-C50-MEC_Uninsulated Duct and Acc vs FIR_Sprinklers Heads</v>
      </c>
    </row>
    <row r="613" spans="1:5" x14ac:dyDescent="0.25">
      <c r="A613" s="51" t="str">
        <v>T2</v>
      </c>
      <c r="B613" s="51" t="str">
        <v>C50</v>
      </c>
      <c r="C613" s="5" t="str">
        <f t="shared" si="27"/>
        <v>MEC_Uninsulated Duct and Acc</v>
      </c>
      <c r="D613" s="5" t="str">
        <v>FIR_Heat or Smoke Detectors</v>
      </c>
      <c r="E613" s="5" t="str">
        <f t="shared" si="28"/>
        <v>NL-C50-MEC_Uninsulated Duct and Acc vs FIR_Heat or Smoke Detectors</v>
      </c>
    </row>
    <row r="614" spans="1:5" x14ac:dyDescent="0.25">
      <c r="A614" s="51" cm="1">
        <f t="array" ref="A614:A626">TRANSPOSE('Clash Matrix (Update to suit)'!AA50:AM50)</f>
        <v>0</v>
      </c>
      <c r="B614" s="51" cm="1">
        <f t="array" ref="B614:B626">TRANSPOSE('Clash Matrix (Update to suit)'!AA51:AM51)</f>
        <v>0</v>
      </c>
      <c r="C614" s="5" t="str">
        <f>'Item Categories'!C26</f>
        <v>MEC_Duct Insulation</v>
      </c>
      <c r="D614" s="5" t="str" cm="1">
        <f t="array" ref="D614:D626">TRANSPOSE('Clash Matrix (Update to suit)'!AA1:AM1)</f>
        <v>MEC_Duct Insulation</v>
      </c>
      <c r="E614" s="5" t="str">
        <f t="shared" ref="E614:E638" si="29">"NL-"&amp;B614&amp; "-"&amp; C614&amp;" vs "&amp;D614</f>
        <v>NL-0-MEC_Duct Insulation vs MEC_Duct Insulation</v>
      </c>
    </row>
    <row r="615" spans="1:5" x14ac:dyDescent="0.25">
      <c r="A615" s="51" t="str">
        <v>T2</v>
      </c>
      <c r="B615" s="51" t="str">
        <v>C50</v>
      </c>
      <c r="C615" s="5" t="str">
        <f>C614</f>
        <v>MEC_Duct Insulation</v>
      </c>
      <c r="D615" s="5" t="str">
        <v>MEC_Pipe Insulation</v>
      </c>
      <c r="E615" s="5" t="str">
        <f t="shared" si="29"/>
        <v>NL-C50-MEC_Duct Insulation vs MEC_Pipe Insulation</v>
      </c>
    </row>
    <row r="616" spans="1:5" x14ac:dyDescent="0.25">
      <c r="A616" s="51" t="str">
        <v>T2</v>
      </c>
      <c r="B616" s="51" t="str">
        <v>C50</v>
      </c>
      <c r="C616" s="5" t="str">
        <f t="shared" ref="C616:C626" si="30">C615</f>
        <v>MEC_Duct Insulation</v>
      </c>
      <c r="D616" s="5" t="str">
        <v>MEC_Uninsulated Pipes and Acc</v>
      </c>
      <c r="E616" s="5" t="str">
        <f t="shared" si="29"/>
        <v>NL-C50-MEC_Duct Insulation vs MEC_Uninsulated Pipes and Acc</v>
      </c>
    </row>
    <row r="617" spans="1:5" x14ac:dyDescent="0.25">
      <c r="A617" s="51" t="str">
        <v>T2</v>
      </c>
      <c r="B617" s="51" t="str">
        <v>C50</v>
      </c>
      <c r="C617" s="5" t="str">
        <f t="shared" si="30"/>
        <v>MEC_Duct Insulation</v>
      </c>
      <c r="D617" s="5" t="str">
        <v>MEC_Uninulated Flexi duct</v>
      </c>
      <c r="E617" s="5" t="str">
        <f t="shared" si="29"/>
        <v>NL-C50-MEC_Duct Insulation vs MEC_Uninulated Flexi duct</v>
      </c>
    </row>
    <row r="618" spans="1:5" x14ac:dyDescent="0.25">
      <c r="A618" s="51" t="str">
        <v>T2</v>
      </c>
      <c r="B618" s="51" t="str">
        <v>C50</v>
      </c>
      <c r="C618" s="5" t="str">
        <f t="shared" si="30"/>
        <v>MEC_Duct Insulation</v>
      </c>
      <c r="D618" s="5" t="str">
        <v>MEC_Equipment</v>
      </c>
      <c r="E618" s="5" t="str">
        <f t="shared" si="29"/>
        <v>NL-C50-MEC_Duct Insulation vs MEC_Equipment</v>
      </c>
    </row>
    <row r="619" spans="1:5" x14ac:dyDescent="0.25">
      <c r="A619" s="51" t="str">
        <v>T2</v>
      </c>
      <c r="B619" s="51" t="str">
        <v>C50</v>
      </c>
      <c r="C619" s="5" t="str">
        <f t="shared" si="30"/>
        <v>MEC_Duct Insulation</v>
      </c>
      <c r="D619" s="5" t="str">
        <v>ELE_Cable Tray and Fittings</v>
      </c>
      <c r="E619" s="5" t="str">
        <f t="shared" si="29"/>
        <v>NL-C50-MEC_Duct Insulation vs ELE_Cable Tray and Fittings</v>
      </c>
    </row>
    <row r="620" spans="1:5" x14ac:dyDescent="0.25">
      <c r="A620" s="51" t="str">
        <v>T2</v>
      </c>
      <c r="B620" s="51" t="str">
        <v>C50</v>
      </c>
      <c r="C620" s="5" t="str">
        <f t="shared" si="30"/>
        <v>MEC_Duct Insulation</v>
      </c>
      <c r="D620" s="5" t="str">
        <v>ELE_Conduit*</v>
      </c>
      <c r="E620" s="5" t="str">
        <f t="shared" si="29"/>
        <v>NL-C50-MEC_Duct Insulation vs ELE_Conduit*</v>
      </c>
    </row>
    <row r="621" spans="1:5" x14ac:dyDescent="0.25">
      <c r="A621" s="51" t="str">
        <v>T2</v>
      </c>
      <c r="B621" s="51" t="str">
        <v>C50</v>
      </c>
      <c r="C621" s="5" t="str">
        <f t="shared" si="30"/>
        <v>MEC_Duct Insulation</v>
      </c>
      <c r="D621" s="5" t="str">
        <v>ELE_Electrical Equip.</v>
      </c>
      <c r="E621" s="5" t="str">
        <f t="shared" si="29"/>
        <v>NL-C50-MEC_Duct Insulation vs ELE_Electrical Equip.</v>
      </c>
    </row>
    <row r="622" spans="1:5" x14ac:dyDescent="0.25">
      <c r="A622" s="51" t="str">
        <v>T2</v>
      </c>
      <c r="B622" s="51" t="str">
        <v>C50</v>
      </c>
      <c r="C622" s="5" t="str">
        <f t="shared" si="30"/>
        <v>MEC_Duct Insulation</v>
      </c>
      <c r="D622" s="5" t="str">
        <v>ELE_Small Devices</v>
      </c>
      <c r="E622" s="5" t="str">
        <f t="shared" si="29"/>
        <v>NL-C50-MEC_Duct Insulation vs ELE_Small Devices</v>
      </c>
    </row>
    <row r="623" spans="1:5" x14ac:dyDescent="0.25">
      <c r="A623" s="51" t="str">
        <v>T2</v>
      </c>
      <c r="B623" s="51" t="str">
        <v>C50</v>
      </c>
      <c r="C623" s="5" t="str">
        <f t="shared" si="30"/>
        <v>MEC_Duct Insulation</v>
      </c>
      <c r="D623" s="5" t="str">
        <v>ELE_Services Lighting Fixtures</v>
      </c>
      <c r="E623" s="5" t="str">
        <f t="shared" si="29"/>
        <v>NL-C50-MEC_Duct Insulation vs ELE_Services Lighting Fixtures</v>
      </c>
    </row>
    <row r="624" spans="1:5" x14ac:dyDescent="0.25">
      <c r="A624" s="51" t="str">
        <v>T2</v>
      </c>
      <c r="B624" s="51" t="str">
        <v>C50</v>
      </c>
      <c r="C624" s="5" t="str">
        <f t="shared" si="30"/>
        <v>MEC_Duct Insulation</v>
      </c>
      <c r="D624" s="5" t="str">
        <v>FIR_Fire Pipes</v>
      </c>
      <c r="E624" s="5" t="str">
        <f t="shared" si="29"/>
        <v>NL-C50-MEC_Duct Insulation vs FIR_Fire Pipes</v>
      </c>
    </row>
    <row r="625" spans="1:5" x14ac:dyDescent="0.25">
      <c r="A625" s="51" t="str">
        <v>T2</v>
      </c>
      <c r="B625" s="51" t="str">
        <v>C50</v>
      </c>
      <c r="C625" s="5" t="str">
        <f t="shared" si="30"/>
        <v>MEC_Duct Insulation</v>
      </c>
      <c r="D625" s="5" t="str">
        <v>FIR_Sprinklers Heads</v>
      </c>
      <c r="E625" s="5" t="str">
        <f t="shared" si="29"/>
        <v>NL-C50-MEC_Duct Insulation vs FIR_Sprinklers Heads</v>
      </c>
    </row>
    <row r="626" spans="1:5" x14ac:dyDescent="0.25">
      <c r="A626" s="51" t="str">
        <v>T2</v>
      </c>
      <c r="B626" s="51" t="str">
        <v>C50</v>
      </c>
      <c r="C626" s="5" t="str">
        <f t="shared" si="30"/>
        <v>MEC_Duct Insulation</v>
      </c>
      <c r="D626" s="5" t="str">
        <v>FIR_Heat or Smoke Detectors</v>
      </c>
      <c r="E626" s="5" t="str">
        <f t="shared" si="29"/>
        <v>NL-C50-MEC_Duct Insulation vs FIR_Heat or Smoke Detectors</v>
      </c>
    </row>
    <row r="627" spans="1:5" x14ac:dyDescent="0.25">
      <c r="A627" s="51" cm="1">
        <f t="array" ref="A627:A638">TRANSPOSE('Clash Matrix (Update to suit)'!AB52:AM52)</f>
        <v>0</v>
      </c>
      <c r="B627" s="51" cm="1">
        <f t="array" ref="B627:B638">TRANSPOSE('Clash Matrix (Update to suit)'!AB53:AM53)</f>
        <v>0</v>
      </c>
      <c r="C627" s="5" t="str">
        <f>D627</f>
        <v>MEC_Pipe Insulation</v>
      </c>
      <c r="D627" s="5" t="str" cm="1">
        <f t="array" ref="D627:D638">TRANSPOSE('Clash Matrix (Update to suit)'!AB1:AM1)</f>
        <v>MEC_Pipe Insulation</v>
      </c>
      <c r="E627" s="5" t="str">
        <f t="shared" si="29"/>
        <v>NL-0-MEC_Pipe Insulation vs MEC_Pipe Insulation</v>
      </c>
    </row>
    <row r="628" spans="1:5" x14ac:dyDescent="0.25">
      <c r="A628" s="51" t="str">
        <v>T2</v>
      </c>
      <c r="B628" s="51" t="str">
        <v>C50</v>
      </c>
      <c r="C628" s="5" t="str">
        <f>C627</f>
        <v>MEC_Pipe Insulation</v>
      </c>
      <c r="D628" s="5" t="str">
        <v>MEC_Uninsulated Pipes and Acc</v>
      </c>
      <c r="E628" s="5" t="str">
        <f t="shared" si="29"/>
        <v>NL-C50-MEC_Pipe Insulation vs MEC_Uninsulated Pipes and Acc</v>
      </c>
    </row>
    <row r="629" spans="1:5" x14ac:dyDescent="0.25">
      <c r="A629" s="51" t="str">
        <v>T2</v>
      </c>
      <c r="B629" s="51" t="str">
        <v>C50</v>
      </c>
      <c r="C629" s="5" t="str">
        <f t="shared" ref="C629:C638" si="31">C628</f>
        <v>MEC_Pipe Insulation</v>
      </c>
      <c r="D629" s="5" t="str">
        <v>MEC_Uninulated Flexi duct</v>
      </c>
      <c r="E629" s="5" t="str">
        <f t="shared" si="29"/>
        <v>NL-C50-MEC_Pipe Insulation vs MEC_Uninulated Flexi duct</v>
      </c>
    </row>
    <row r="630" spans="1:5" x14ac:dyDescent="0.25">
      <c r="A630" s="51" t="str">
        <v>T2</v>
      </c>
      <c r="B630" s="51" t="str">
        <v>C50</v>
      </c>
      <c r="C630" s="5" t="str">
        <f t="shared" si="31"/>
        <v>MEC_Pipe Insulation</v>
      </c>
      <c r="D630" s="5" t="str">
        <v>MEC_Equipment</v>
      </c>
      <c r="E630" s="5" t="str">
        <f t="shared" si="29"/>
        <v>NL-C50-MEC_Pipe Insulation vs MEC_Equipment</v>
      </c>
    </row>
    <row r="631" spans="1:5" x14ac:dyDescent="0.25">
      <c r="A631" s="51" t="str">
        <v>T2</v>
      </c>
      <c r="B631" s="51" t="str">
        <v>C50</v>
      </c>
      <c r="C631" s="5" t="str">
        <f t="shared" si="31"/>
        <v>MEC_Pipe Insulation</v>
      </c>
      <c r="D631" s="5" t="str">
        <v>ELE_Cable Tray and Fittings</v>
      </c>
      <c r="E631" s="5" t="str">
        <f t="shared" si="29"/>
        <v>NL-C50-MEC_Pipe Insulation vs ELE_Cable Tray and Fittings</v>
      </c>
    </row>
    <row r="632" spans="1:5" x14ac:dyDescent="0.25">
      <c r="A632" s="51" t="str">
        <v>T2</v>
      </c>
      <c r="B632" s="51" t="str">
        <v>C50</v>
      </c>
      <c r="C632" s="5" t="str">
        <f t="shared" si="31"/>
        <v>MEC_Pipe Insulation</v>
      </c>
      <c r="D632" s="5" t="str">
        <v>ELE_Conduit*</v>
      </c>
      <c r="E632" s="5" t="str">
        <f t="shared" si="29"/>
        <v>NL-C50-MEC_Pipe Insulation vs ELE_Conduit*</v>
      </c>
    </row>
    <row r="633" spans="1:5" x14ac:dyDescent="0.25">
      <c r="A633" s="51" t="str">
        <v>T2</v>
      </c>
      <c r="B633" s="51" t="str">
        <v>C50</v>
      </c>
      <c r="C633" s="5" t="str">
        <f t="shared" si="31"/>
        <v>MEC_Pipe Insulation</v>
      </c>
      <c r="D633" s="5" t="str">
        <v>ELE_Electrical Equip.</v>
      </c>
      <c r="E633" s="5" t="str">
        <f t="shared" si="29"/>
        <v>NL-C50-MEC_Pipe Insulation vs ELE_Electrical Equip.</v>
      </c>
    </row>
    <row r="634" spans="1:5" x14ac:dyDescent="0.25">
      <c r="A634" s="51" t="str">
        <v>T2</v>
      </c>
      <c r="B634" s="51" t="str">
        <v>C50</v>
      </c>
      <c r="C634" s="5" t="str">
        <f t="shared" si="31"/>
        <v>MEC_Pipe Insulation</v>
      </c>
      <c r="D634" s="5" t="str">
        <v>ELE_Small Devices</v>
      </c>
      <c r="E634" s="5" t="str">
        <f t="shared" si="29"/>
        <v>NL-C50-MEC_Pipe Insulation vs ELE_Small Devices</v>
      </c>
    </row>
    <row r="635" spans="1:5" x14ac:dyDescent="0.25">
      <c r="A635" s="51" t="str">
        <v>T2</v>
      </c>
      <c r="B635" s="51" t="str">
        <v>C50</v>
      </c>
      <c r="C635" s="5" t="str">
        <f t="shared" si="31"/>
        <v>MEC_Pipe Insulation</v>
      </c>
      <c r="D635" s="5" t="str">
        <v>ELE_Services Lighting Fixtures</v>
      </c>
      <c r="E635" s="5" t="str">
        <f t="shared" si="29"/>
        <v>NL-C50-MEC_Pipe Insulation vs ELE_Services Lighting Fixtures</v>
      </c>
    </row>
    <row r="636" spans="1:5" x14ac:dyDescent="0.25">
      <c r="A636" s="51" t="str">
        <v>T2</v>
      </c>
      <c r="B636" s="51" t="str">
        <v>C50</v>
      </c>
      <c r="C636" s="5" t="str">
        <f t="shared" si="31"/>
        <v>MEC_Pipe Insulation</v>
      </c>
      <c r="D636" s="5" t="str">
        <v>FIR_Fire Pipes</v>
      </c>
      <c r="E636" s="5" t="str">
        <f t="shared" si="29"/>
        <v>NL-C50-MEC_Pipe Insulation vs FIR_Fire Pipes</v>
      </c>
    </row>
    <row r="637" spans="1:5" x14ac:dyDescent="0.25">
      <c r="A637" s="51" t="str">
        <v>T2</v>
      </c>
      <c r="B637" s="51" t="str">
        <v>C50</v>
      </c>
      <c r="C637" s="5" t="str">
        <f t="shared" si="31"/>
        <v>MEC_Pipe Insulation</v>
      </c>
      <c r="D637" s="5" t="str">
        <v>FIR_Sprinklers Heads</v>
      </c>
      <c r="E637" s="5" t="str">
        <f t="shared" si="29"/>
        <v>NL-C50-MEC_Pipe Insulation vs FIR_Sprinklers Heads</v>
      </c>
    </row>
    <row r="638" spans="1:5" x14ac:dyDescent="0.25">
      <c r="A638" s="51" t="str">
        <v>T2</v>
      </c>
      <c r="B638" s="51" t="str">
        <v>C50</v>
      </c>
      <c r="C638" s="5" t="str">
        <f t="shared" si="31"/>
        <v>MEC_Pipe Insulation</v>
      </c>
      <c r="D638" s="5" t="str">
        <v>FIR_Heat or Smoke Detectors</v>
      </c>
      <c r="E638" s="5" t="str">
        <f t="shared" si="29"/>
        <v>NL-C50-MEC_Pipe Insulation vs FIR_Heat or Smoke Detectors</v>
      </c>
    </row>
    <row r="639" spans="1:5" x14ac:dyDescent="0.25">
      <c r="A639" s="51" cm="1">
        <f t="array" ref="A639:A649">TRANSPOSE('Clash Matrix (Update to suit)'!AC54:AM54)</f>
        <v>0</v>
      </c>
      <c r="B639" s="51" cm="1">
        <f t="array" ref="B639:B649">TRANSPOSE('Clash Matrix (Update to suit)'!AC55:AM55)</f>
        <v>0</v>
      </c>
      <c r="C639" s="5" t="str">
        <f>D639</f>
        <v>MEC_Uninsulated Pipes and Acc</v>
      </c>
      <c r="D639" s="5" t="str" cm="1">
        <f t="array" ref="D639:D649">TRANSPOSE('Clash Matrix (Update to suit)'!AC1:AM1)</f>
        <v>MEC_Uninsulated Pipes and Acc</v>
      </c>
      <c r="E639" s="5" t="str">
        <f t="shared" ref="E639:E645" si="32">"NL-"&amp;B639&amp; "-"&amp; C639&amp;" vs "&amp;D639</f>
        <v>NL-0-MEC_Uninsulated Pipes and Acc vs MEC_Uninsulated Pipes and Acc</v>
      </c>
    </row>
    <row r="640" spans="1:5" x14ac:dyDescent="0.25">
      <c r="A640" s="51" t="str">
        <v>T2</v>
      </c>
      <c r="B640" s="51" t="str">
        <v>C50</v>
      </c>
      <c r="C640" s="5" t="str">
        <f>C639</f>
        <v>MEC_Uninsulated Pipes and Acc</v>
      </c>
      <c r="D640" s="5" t="str">
        <v>MEC_Uninulated Flexi duct</v>
      </c>
      <c r="E640" s="5" t="str">
        <f t="shared" si="32"/>
        <v>NL-C50-MEC_Uninsulated Pipes and Acc vs MEC_Uninulated Flexi duct</v>
      </c>
    </row>
    <row r="641" spans="1:5" x14ac:dyDescent="0.25">
      <c r="A641" s="51" t="str">
        <v>T2</v>
      </c>
      <c r="B641" s="51" t="str">
        <v>C50</v>
      </c>
      <c r="C641" s="5" t="str">
        <f t="shared" ref="C641:C649" si="33">C640</f>
        <v>MEC_Uninsulated Pipes and Acc</v>
      </c>
      <c r="D641" s="5" t="str">
        <v>MEC_Equipment</v>
      </c>
      <c r="E641" s="5" t="str">
        <f t="shared" si="32"/>
        <v>NL-C50-MEC_Uninsulated Pipes and Acc vs MEC_Equipment</v>
      </c>
    </row>
    <row r="642" spans="1:5" x14ac:dyDescent="0.25">
      <c r="A642" s="51" t="str">
        <v>T2</v>
      </c>
      <c r="B642" s="51" t="str">
        <v>C50</v>
      </c>
      <c r="C642" s="5" t="str">
        <f t="shared" si="33"/>
        <v>MEC_Uninsulated Pipes and Acc</v>
      </c>
      <c r="D642" s="5" t="str">
        <v>ELE_Cable Tray and Fittings</v>
      </c>
      <c r="E642" s="5" t="str">
        <f t="shared" si="32"/>
        <v>NL-C50-MEC_Uninsulated Pipes and Acc vs ELE_Cable Tray and Fittings</v>
      </c>
    </row>
    <row r="643" spans="1:5" x14ac:dyDescent="0.25">
      <c r="A643" s="51" t="str">
        <v>T2</v>
      </c>
      <c r="B643" s="51" t="str">
        <v>C50</v>
      </c>
      <c r="C643" s="5" t="str">
        <f t="shared" si="33"/>
        <v>MEC_Uninsulated Pipes and Acc</v>
      </c>
      <c r="D643" s="5" t="str">
        <v>ELE_Conduit*</v>
      </c>
      <c r="E643" s="5" t="str">
        <f t="shared" si="32"/>
        <v>NL-C50-MEC_Uninsulated Pipes and Acc vs ELE_Conduit*</v>
      </c>
    </row>
    <row r="644" spans="1:5" x14ac:dyDescent="0.25">
      <c r="A644" s="51" t="str">
        <v>T2</v>
      </c>
      <c r="B644" s="51" t="str">
        <v>C50</v>
      </c>
      <c r="C644" s="5" t="str">
        <f t="shared" si="33"/>
        <v>MEC_Uninsulated Pipes and Acc</v>
      </c>
      <c r="D644" s="5" t="str">
        <v>ELE_Electrical Equip.</v>
      </c>
      <c r="E644" s="5" t="str">
        <f t="shared" si="32"/>
        <v>NL-C50-MEC_Uninsulated Pipes and Acc vs ELE_Electrical Equip.</v>
      </c>
    </row>
    <row r="645" spans="1:5" x14ac:dyDescent="0.25">
      <c r="A645" s="51" t="str">
        <v>T2</v>
      </c>
      <c r="B645" s="51" t="str">
        <v>C50</v>
      </c>
      <c r="C645" s="5" t="str">
        <f t="shared" si="33"/>
        <v>MEC_Uninsulated Pipes and Acc</v>
      </c>
      <c r="D645" s="5" t="str">
        <v>ELE_Small Devices</v>
      </c>
      <c r="E645" s="5" t="str">
        <f t="shared" si="32"/>
        <v>NL-C50-MEC_Uninsulated Pipes and Acc vs ELE_Small Devices</v>
      </c>
    </row>
    <row r="646" spans="1:5" x14ac:dyDescent="0.25">
      <c r="A646" s="51" t="str">
        <v>T2</v>
      </c>
      <c r="B646" s="51" t="str">
        <v>C50</v>
      </c>
      <c r="C646" s="5" t="str">
        <f t="shared" si="33"/>
        <v>MEC_Uninsulated Pipes and Acc</v>
      </c>
      <c r="D646" s="5" t="str">
        <v>ELE_Services Lighting Fixtures</v>
      </c>
      <c r="E646" s="5" t="str">
        <f t="shared" ref="E646:E671" si="34">"NL-"&amp;B646&amp; "-"&amp; C646&amp;" vs "&amp;D646</f>
        <v>NL-C50-MEC_Uninsulated Pipes and Acc vs ELE_Services Lighting Fixtures</v>
      </c>
    </row>
    <row r="647" spans="1:5" x14ac:dyDescent="0.25">
      <c r="A647" s="51" t="str">
        <v>T2</v>
      </c>
      <c r="B647" s="51" t="str">
        <v>C50</v>
      </c>
      <c r="C647" s="5" t="str">
        <f t="shared" si="33"/>
        <v>MEC_Uninsulated Pipes and Acc</v>
      </c>
      <c r="D647" s="5" t="str">
        <v>FIR_Fire Pipes</v>
      </c>
      <c r="E647" s="5" t="str">
        <f t="shared" si="34"/>
        <v>NL-C50-MEC_Uninsulated Pipes and Acc vs FIR_Fire Pipes</v>
      </c>
    </row>
    <row r="648" spans="1:5" x14ac:dyDescent="0.25">
      <c r="A648" s="51" t="str">
        <v>T2</v>
      </c>
      <c r="B648" s="51" t="str">
        <v>C50</v>
      </c>
      <c r="C648" s="5" t="str">
        <f t="shared" si="33"/>
        <v>MEC_Uninsulated Pipes and Acc</v>
      </c>
      <c r="D648" s="5" t="str">
        <v>FIR_Sprinklers Heads</v>
      </c>
      <c r="E648" s="5" t="str">
        <f t="shared" si="34"/>
        <v>NL-C50-MEC_Uninsulated Pipes and Acc vs FIR_Sprinklers Heads</v>
      </c>
    </row>
    <row r="649" spans="1:5" x14ac:dyDescent="0.25">
      <c r="A649" s="51" t="str">
        <v>T2</v>
      </c>
      <c r="B649" s="51" t="str">
        <v>C50</v>
      </c>
      <c r="C649" s="5" t="str">
        <f t="shared" si="33"/>
        <v>MEC_Uninsulated Pipes and Acc</v>
      </c>
      <c r="D649" s="5" t="str">
        <v>FIR_Heat or Smoke Detectors</v>
      </c>
      <c r="E649" s="5" t="str">
        <f t="shared" si="34"/>
        <v>NL-C50-MEC_Uninsulated Pipes and Acc vs FIR_Heat or Smoke Detectors</v>
      </c>
    </row>
    <row r="650" spans="1:5" x14ac:dyDescent="0.25">
      <c r="A650" s="51" cm="1">
        <f t="array" ref="A650:A659">TRANSPOSE('Clash Matrix (Update to suit)'!AD56:AM56)</f>
        <v>0</v>
      </c>
      <c r="B650" s="51" cm="1">
        <f t="array" ref="B650:B659">TRANSPOSE('Clash Matrix (Update to suit)'!AD57:AM57)</f>
        <v>0</v>
      </c>
      <c r="C650" s="5" t="str">
        <f>D650</f>
        <v>MEC_Uninulated Flexi duct</v>
      </c>
      <c r="D650" s="5" t="str" cm="1">
        <f t="array" ref="D650:D659">TRANSPOSE('Clash Matrix (Update to suit)'!AD1:AM1)</f>
        <v>MEC_Uninulated Flexi duct</v>
      </c>
      <c r="E650" s="5" t="str">
        <f t="shared" si="34"/>
        <v>NL-0-MEC_Uninulated Flexi duct vs MEC_Uninulated Flexi duct</v>
      </c>
    </row>
    <row r="651" spans="1:5" x14ac:dyDescent="0.25">
      <c r="A651" s="51" t="str">
        <v>T2</v>
      </c>
      <c r="B651" s="51" t="str">
        <v>C50</v>
      </c>
      <c r="C651" s="5" t="str">
        <f>C650</f>
        <v>MEC_Uninulated Flexi duct</v>
      </c>
      <c r="D651" s="5" t="str">
        <v>MEC_Equipment</v>
      </c>
      <c r="E651" s="5" t="str">
        <f t="shared" si="34"/>
        <v>NL-C50-MEC_Uninulated Flexi duct vs MEC_Equipment</v>
      </c>
    </row>
    <row r="652" spans="1:5" x14ac:dyDescent="0.25">
      <c r="A652" s="51" t="str">
        <v>T2</v>
      </c>
      <c r="B652" s="51" t="str">
        <v>C50</v>
      </c>
      <c r="C652" s="5" t="str">
        <f t="shared" ref="C652:C659" si="35">C651</f>
        <v>MEC_Uninulated Flexi duct</v>
      </c>
      <c r="D652" s="5" t="str">
        <v>ELE_Cable Tray and Fittings</v>
      </c>
      <c r="E652" s="5" t="str">
        <f t="shared" si="34"/>
        <v>NL-C50-MEC_Uninulated Flexi duct vs ELE_Cable Tray and Fittings</v>
      </c>
    </row>
    <row r="653" spans="1:5" x14ac:dyDescent="0.25">
      <c r="A653" s="51" t="str">
        <v>T2</v>
      </c>
      <c r="B653" s="51" t="str">
        <v>C50</v>
      </c>
      <c r="C653" s="5" t="str">
        <f t="shared" si="35"/>
        <v>MEC_Uninulated Flexi duct</v>
      </c>
      <c r="D653" s="5" t="str">
        <v>ELE_Conduit*</v>
      </c>
      <c r="E653" s="5" t="str">
        <f t="shared" si="34"/>
        <v>NL-C50-MEC_Uninulated Flexi duct vs ELE_Conduit*</v>
      </c>
    </row>
    <row r="654" spans="1:5" x14ac:dyDescent="0.25">
      <c r="A654" s="51" t="str">
        <v>T2</v>
      </c>
      <c r="B654" s="51" t="str">
        <v>C50</v>
      </c>
      <c r="C654" s="5" t="str">
        <f t="shared" si="35"/>
        <v>MEC_Uninulated Flexi duct</v>
      </c>
      <c r="D654" s="5" t="str">
        <v>ELE_Electrical Equip.</v>
      </c>
      <c r="E654" s="5" t="str">
        <f t="shared" si="34"/>
        <v>NL-C50-MEC_Uninulated Flexi duct vs ELE_Electrical Equip.</v>
      </c>
    </row>
    <row r="655" spans="1:5" x14ac:dyDescent="0.25">
      <c r="A655" s="51" t="str">
        <v>T2</v>
      </c>
      <c r="B655" s="51" t="str">
        <v>C50</v>
      </c>
      <c r="C655" s="5" t="str">
        <f t="shared" si="35"/>
        <v>MEC_Uninulated Flexi duct</v>
      </c>
      <c r="D655" s="5" t="str">
        <v>ELE_Small Devices</v>
      </c>
      <c r="E655" s="5" t="str">
        <f t="shared" si="34"/>
        <v>NL-C50-MEC_Uninulated Flexi duct vs ELE_Small Devices</v>
      </c>
    </row>
    <row r="656" spans="1:5" x14ac:dyDescent="0.25">
      <c r="A656" s="51" t="str">
        <v>T2</v>
      </c>
      <c r="B656" s="51" t="str">
        <v>C50</v>
      </c>
      <c r="C656" s="5" t="str">
        <f t="shared" si="35"/>
        <v>MEC_Uninulated Flexi duct</v>
      </c>
      <c r="D656" s="5" t="str">
        <v>ELE_Services Lighting Fixtures</v>
      </c>
      <c r="E656" s="5" t="str">
        <f t="shared" si="34"/>
        <v>NL-C50-MEC_Uninulated Flexi duct vs ELE_Services Lighting Fixtures</v>
      </c>
    </row>
    <row r="657" spans="1:5" x14ac:dyDescent="0.25">
      <c r="A657" s="51" t="str">
        <v>T2</v>
      </c>
      <c r="B657" s="51" t="str">
        <v>C50</v>
      </c>
      <c r="C657" s="5" t="str">
        <f t="shared" si="35"/>
        <v>MEC_Uninulated Flexi duct</v>
      </c>
      <c r="D657" s="5" t="str">
        <v>FIR_Fire Pipes</v>
      </c>
      <c r="E657" s="5" t="str">
        <f t="shared" si="34"/>
        <v>NL-C50-MEC_Uninulated Flexi duct vs FIR_Fire Pipes</v>
      </c>
    </row>
    <row r="658" spans="1:5" x14ac:dyDescent="0.25">
      <c r="A658" s="51">
        <v>0</v>
      </c>
      <c r="B658" s="51">
        <v>0</v>
      </c>
      <c r="C658" s="5" t="str">
        <f t="shared" si="35"/>
        <v>MEC_Uninulated Flexi duct</v>
      </c>
      <c r="D658" s="5" t="str">
        <v>FIR_Sprinklers Heads</v>
      </c>
      <c r="E658" s="5" t="str">
        <f t="shared" si="34"/>
        <v>NL-0-MEC_Uninulated Flexi duct vs FIR_Sprinklers Heads</v>
      </c>
    </row>
    <row r="659" spans="1:5" x14ac:dyDescent="0.25">
      <c r="A659" s="51">
        <v>0</v>
      </c>
      <c r="B659" s="51">
        <v>0</v>
      </c>
      <c r="C659" s="5" t="str">
        <f t="shared" si="35"/>
        <v>MEC_Uninulated Flexi duct</v>
      </c>
      <c r="D659" s="5" t="str">
        <v>FIR_Heat or Smoke Detectors</v>
      </c>
      <c r="E659" s="5" t="str">
        <f t="shared" si="34"/>
        <v>NL-0-MEC_Uninulated Flexi duct vs FIR_Heat or Smoke Detectors</v>
      </c>
    </row>
    <row r="660" spans="1:5" x14ac:dyDescent="0.25">
      <c r="A660" s="51" cm="1">
        <f t="array" ref="A660:A668">TRANSPOSE('Clash Matrix (Update to suit)'!AE58:AM58)</f>
        <v>0</v>
      </c>
      <c r="B660" s="51" cm="1">
        <f t="array" ref="B660:B668">TRANSPOSE('Clash Matrix (Update to suit)'!AE59:AM59)</f>
        <v>0</v>
      </c>
      <c r="C660" s="5" t="s">
        <v>173</v>
      </c>
      <c r="D660" s="5" t="str" cm="1">
        <f t="array" ref="D660:D668">TRANSPOSE('Clash Matrix (Update to suit)'!AE1:AM1)</f>
        <v>MEC_Equipment</v>
      </c>
      <c r="E660" s="5" t="str">
        <f t="shared" si="34"/>
        <v>NL-0-MEC_Equipment vs MEC_Equipment</v>
      </c>
    </row>
    <row r="661" spans="1:5" x14ac:dyDescent="0.25">
      <c r="A661" s="51" t="str">
        <v>T3</v>
      </c>
      <c r="B661" s="51" t="str">
        <v>C50</v>
      </c>
      <c r="C661" s="5" t="s">
        <v>173</v>
      </c>
      <c r="D661" s="5" t="str">
        <v>ELE_Cable Tray and Fittings</v>
      </c>
      <c r="E661" s="5" t="str">
        <f t="shared" si="34"/>
        <v>NL-C50-MEC_Equipment vs ELE_Cable Tray and Fittings</v>
      </c>
    </row>
    <row r="662" spans="1:5" x14ac:dyDescent="0.25">
      <c r="A662" s="51" t="str">
        <v>T3</v>
      </c>
      <c r="B662" s="51" t="str">
        <v>C50</v>
      </c>
      <c r="C662" s="5" t="s">
        <v>173</v>
      </c>
      <c r="D662" s="5" t="str">
        <v>ELE_Conduit*</v>
      </c>
      <c r="E662" s="5" t="str">
        <f t="shared" si="34"/>
        <v>NL-C50-MEC_Equipment vs ELE_Conduit*</v>
      </c>
    </row>
    <row r="663" spans="1:5" x14ac:dyDescent="0.25">
      <c r="A663" s="51" t="str">
        <v>T3</v>
      </c>
      <c r="B663" s="51" t="str">
        <v>C50</v>
      </c>
      <c r="C663" s="5" t="s">
        <v>173</v>
      </c>
      <c r="D663" s="5" t="str">
        <v>ELE_Electrical Equip.</v>
      </c>
      <c r="E663" s="5" t="str">
        <f t="shared" si="34"/>
        <v>NL-C50-MEC_Equipment vs ELE_Electrical Equip.</v>
      </c>
    </row>
    <row r="664" spans="1:5" x14ac:dyDescent="0.25">
      <c r="A664" s="51" t="str">
        <v>T3</v>
      </c>
      <c r="B664" s="51" t="str">
        <v>C50</v>
      </c>
      <c r="C664" s="5" t="s">
        <v>173</v>
      </c>
      <c r="D664" s="5" t="str">
        <v>ELE_Small Devices</v>
      </c>
      <c r="E664" s="5" t="str">
        <f t="shared" si="34"/>
        <v>NL-C50-MEC_Equipment vs ELE_Small Devices</v>
      </c>
    </row>
    <row r="665" spans="1:5" x14ac:dyDescent="0.25">
      <c r="A665" s="51" t="str">
        <v>T3</v>
      </c>
      <c r="B665" s="51" t="str">
        <v>C50</v>
      </c>
      <c r="C665" s="5" t="s">
        <v>173</v>
      </c>
      <c r="D665" s="5" t="str">
        <v>ELE_Services Lighting Fixtures</v>
      </c>
      <c r="E665" s="5" t="str">
        <f t="shared" si="34"/>
        <v>NL-C50-MEC_Equipment vs ELE_Services Lighting Fixtures</v>
      </c>
    </row>
    <row r="666" spans="1:5" x14ac:dyDescent="0.25">
      <c r="A666" s="51" t="str">
        <v>T3</v>
      </c>
      <c r="B666" s="51" t="str">
        <v>C50</v>
      </c>
      <c r="C666" s="5" t="s">
        <v>173</v>
      </c>
      <c r="D666" s="5" t="str">
        <v>FIR_Fire Pipes</v>
      </c>
      <c r="E666" s="5" t="str">
        <f t="shared" si="34"/>
        <v>NL-C50-MEC_Equipment vs FIR_Fire Pipes</v>
      </c>
    </row>
    <row r="667" spans="1:5" x14ac:dyDescent="0.25">
      <c r="A667" s="51" t="str">
        <v>T3</v>
      </c>
      <c r="B667" s="51" t="str">
        <v>C50</v>
      </c>
      <c r="C667" s="5" t="s">
        <v>173</v>
      </c>
      <c r="D667" s="5" t="str">
        <v>FIR_Sprinklers Heads</v>
      </c>
      <c r="E667" s="5" t="str">
        <f t="shared" si="34"/>
        <v>NL-C50-MEC_Equipment vs FIR_Sprinklers Heads</v>
      </c>
    </row>
    <row r="668" spans="1:5" x14ac:dyDescent="0.25">
      <c r="A668" s="51" t="str">
        <v>T3</v>
      </c>
      <c r="B668" s="51" t="str">
        <v>C50</v>
      </c>
      <c r="C668" s="5" t="s">
        <v>173</v>
      </c>
      <c r="D668" s="5" t="str">
        <v>FIR_Heat or Smoke Detectors</v>
      </c>
      <c r="E668" s="5" t="str">
        <f t="shared" si="34"/>
        <v>NL-C50-MEC_Equipment vs FIR_Heat or Smoke Detectors</v>
      </c>
    </row>
    <row r="669" spans="1:5" x14ac:dyDescent="0.25">
      <c r="A669" s="51" t="str" cm="1">
        <f t="array" ref="A669:A676">TRANSPOSE('Clash Matrix (Update to suit)'!AF60:AM60)</f>
        <v>T3</v>
      </c>
      <c r="B669" s="51" t="str" cm="1">
        <f t="array" ref="B669:B676">TRANSPOSE('Clash Matrix (Update to suit)'!AF61:AM61)</f>
        <v>C150</v>
      </c>
      <c r="C669" s="5" t="s">
        <v>115</v>
      </c>
      <c r="D669" s="5" t="str" cm="1">
        <f t="array" ref="D669:D676">TRANSPOSE('Clash Matrix (Update to suit)'!AF1:AM1)</f>
        <v>ELE_Cable Tray and Fittings</v>
      </c>
      <c r="E669" s="5" t="str">
        <f t="shared" si="34"/>
        <v>NL-C150-ELE_Cable Tray and Fittings vs ELE_Cable Tray and Fittings</v>
      </c>
    </row>
    <row r="670" spans="1:5" x14ac:dyDescent="0.25">
      <c r="A670" s="51" t="str">
        <v>T3</v>
      </c>
      <c r="B670" s="51" t="str">
        <v>C50</v>
      </c>
      <c r="C670" s="5" t="s">
        <v>115</v>
      </c>
      <c r="D670" s="5" t="str">
        <v>ELE_Conduit*</v>
      </c>
      <c r="E670" s="5" t="str">
        <f t="shared" si="34"/>
        <v>NL-C50-ELE_Cable Tray and Fittings vs ELE_Conduit*</v>
      </c>
    </row>
    <row r="671" spans="1:5" x14ac:dyDescent="0.25">
      <c r="A671" s="51" t="str">
        <v>T3</v>
      </c>
      <c r="B671" s="51" t="str">
        <v>C50</v>
      </c>
      <c r="C671" s="5" t="s">
        <v>115</v>
      </c>
      <c r="D671" s="5" t="str">
        <v>ELE_Electrical Equip.</v>
      </c>
      <c r="E671" s="5" t="str">
        <f t="shared" si="34"/>
        <v>NL-C50-ELE_Cable Tray and Fittings vs ELE_Electrical Equip.</v>
      </c>
    </row>
    <row r="672" spans="1:5" x14ac:dyDescent="0.25">
      <c r="A672" s="51" t="str">
        <v>T3</v>
      </c>
      <c r="B672" s="51" t="str">
        <v>C50</v>
      </c>
      <c r="C672" s="5" t="s">
        <v>115</v>
      </c>
      <c r="D672" s="5" t="str">
        <v>ELE_Small Devices</v>
      </c>
      <c r="E672" s="5" t="str">
        <f t="shared" ref="E672:E676" si="36">"NL-"&amp;B672&amp; "-"&amp; C672&amp;" vs "&amp;D672</f>
        <v>NL-C50-ELE_Cable Tray and Fittings vs ELE_Small Devices</v>
      </c>
    </row>
    <row r="673" spans="1:5" x14ac:dyDescent="0.25">
      <c r="A673" s="51" t="str">
        <v>T3</v>
      </c>
      <c r="B673" s="51" t="str">
        <v>C50</v>
      </c>
      <c r="C673" s="5" t="s">
        <v>115</v>
      </c>
      <c r="D673" s="5" t="str">
        <v>ELE_Services Lighting Fixtures</v>
      </c>
      <c r="E673" s="5" t="str">
        <f t="shared" si="36"/>
        <v>NL-C50-ELE_Cable Tray and Fittings vs ELE_Services Lighting Fixtures</v>
      </c>
    </row>
    <row r="674" spans="1:5" x14ac:dyDescent="0.25">
      <c r="A674" s="51" t="str">
        <v>T3</v>
      </c>
      <c r="B674" s="51" t="str">
        <v>C50</v>
      </c>
      <c r="C674" s="5" t="s">
        <v>115</v>
      </c>
      <c r="D674" s="5" t="str">
        <v>FIR_Fire Pipes</v>
      </c>
      <c r="E674" s="5" t="str">
        <f t="shared" si="36"/>
        <v>NL-C50-ELE_Cable Tray and Fittings vs FIR_Fire Pipes</v>
      </c>
    </row>
    <row r="675" spans="1:5" x14ac:dyDescent="0.25">
      <c r="A675" s="51" t="str">
        <v>T3</v>
      </c>
      <c r="B675" s="51" t="str">
        <v>C50</v>
      </c>
      <c r="C675" s="5" t="s">
        <v>115</v>
      </c>
      <c r="D675" s="5" t="str">
        <v>FIR_Sprinklers Heads</v>
      </c>
      <c r="E675" s="5" t="str">
        <f t="shared" si="36"/>
        <v>NL-C50-ELE_Cable Tray and Fittings vs FIR_Sprinklers Heads</v>
      </c>
    </row>
    <row r="676" spans="1:5" x14ac:dyDescent="0.25">
      <c r="A676" s="51" t="str">
        <v>T3</v>
      </c>
      <c r="B676" s="51" t="str">
        <v>C50</v>
      </c>
      <c r="C676" s="5" t="s">
        <v>115</v>
      </c>
      <c r="D676" s="5" t="str">
        <v>FIR_Heat or Smoke Detectors</v>
      </c>
      <c r="E676" s="5" t="str">
        <f t="shared" si="36"/>
        <v>NL-C50-ELE_Cable Tray and Fittings vs FIR_Heat or Smoke Detectors</v>
      </c>
    </row>
    <row r="677" spans="1:5" x14ac:dyDescent="0.25">
      <c r="A677" s="51" cm="1">
        <f t="array" ref="A677:A683">TRANSPOSE('Clash Matrix (Update to suit)'!AG62:AM62)</f>
        <v>0</v>
      </c>
      <c r="B677" s="51" cm="1">
        <f t="array" ref="B677:B683">TRANSPOSE('Clash Matrix (Update to suit)'!AG63:AM63)</f>
        <v>0</v>
      </c>
      <c r="C677" s="5" t="s">
        <v>147</v>
      </c>
      <c r="D677" s="5" t="str" cm="1">
        <f t="array" ref="D677:D683">TRANSPOSE('Clash Matrix (Update to suit)'!AG1:AM1)</f>
        <v>ELE_Conduit*</v>
      </c>
      <c r="E677" s="5" t="str">
        <f t="shared" ref="E677:E700" si="37">"NL-"&amp;B677&amp; "-"&amp; C677&amp;" vs "&amp;D677</f>
        <v>NL-0-ELE_Conduit* vs ELE_Conduit*</v>
      </c>
    </row>
    <row r="678" spans="1:5" x14ac:dyDescent="0.25">
      <c r="A678" s="51" t="str">
        <v>T3</v>
      </c>
      <c r="B678" s="51" t="str">
        <v>C50</v>
      </c>
      <c r="C678" s="5" t="s">
        <v>147</v>
      </c>
      <c r="D678" s="5" t="str">
        <v>ELE_Electrical Equip.</v>
      </c>
      <c r="E678" s="5" t="str">
        <f t="shared" si="37"/>
        <v>NL-C50-ELE_Conduit* vs ELE_Electrical Equip.</v>
      </c>
    </row>
    <row r="679" spans="1:5" x14ac:dyDescent="0.25">
      <c r="A679" s="51" t="str">
        <v>T3</v>
      </c>
      <c r="B679" s="51" t="str">
        <v>C50</v>
      </c>
      <c r="C679" s="5" t="s">
        <v>147</v>
      </c>
      <c r="D679" s="5" t="str">
        <v>ELE_Small Devices</v>
      </c>
      <c r="E679" s="5" t="str">
        <f t="shared" si="37"/>
        <v>NL-C50-ELE_Conduit* vs ELE_Small Devices</v>
      </c>
    </row>
    <row r="680" spans="1:5" x14ac:dyDescent="0.25">
      <c r="A680" s="51" t="str">
        <v>T3</v>
      </c>
      <c r="B680" s="51" t="str">
        <v>C50</v>
      </c>
      <c r="C680" s="5" t="s">
        <v>147</v>
      </c>
      <c r="D680" s="5" t="str">
        <v>ELE_Services Lighting Fixtures</v>
      </c>
      <c r="E680" s="5" t="str">
        <f t="shared" si="37"/>
        <v>NL-C50-ELE_Conduit* vs ELE_Services Lighting Fixtures</v>
      </c>
    </row>
    <row r="681" spans="1:5" x14ac:dyDescent="0.25">
      <c r="A681" s="51" t="str">
        <v>T3</v>
      </c>
      <c r="B681" s="51" t="str">
        <v>C50</v>
      </c>
      <c r="C681" s="5" t="s">
        <v>147</v>
      </c>
      <c r="D681" s="5" t="str">
        <v>FIR_Fire Pipes</v>
      </c>
      <c r="E681" s="5" t="str">
        <f t="shared" si="37"/>
        <v>NL-C50-ELE_Conduit* vs FIR_Fire Pipes</v>
      </c>
    </row>
    <row r="682" spans="1:5" x14ac:dyDescent="0.25">
      <c r="A682" s="51" t="str">
        <v>T3</v>
      </c>
      <c r="B682" s="51" t="str">
        <v>C50</v>
      </c>
      <c r="C682" s="5" t="s">
        <v>147</v>
      </c>
      <c r="D682" s="5" t="str">
        <v>FIR_Sprinklers Heads</v>
      </c>
      <c r="E682" s="5" t="str">
        <f t="shared" si="37"/>
        <v>NL-C50-ELE_Conduit* vs FIR_Sprinklers Heads</v>
      </c>
    </row>
    <row r="683" spans="1:5" x14ac:dyDescent="0.25">
      <c r="A683" s="51" t="str">
        <v>T3</v>
      </c>
      <c r="B683" s="51" t="str">
        <v>C50</v>
      </c>
      <c r="C683" s="5" t="s">
        <v>147</v>
      </c>
      <c r="D683" s="5" t="str">
        <v>FIR_Heat or Smoke Detectors</v>
      </c>
      <c r="E683" s="5" t="str">
        <f t="shared" si="37"/>
        <v>NL-C50-ELE_Conduit* vs FIR_Heat or Smoke Detectors</v>
      </c>
    </row>
    <row r="684" spans="1:5" x14ac:dyDescent="0.25">
      <c r="A684" s="51" cm="1">
        <f t="array" ref="A684:A689">TRANSPOSE('Clash Matrix (Update to suit)'!AH64:AM64)</f>
        <v>0</v>
      </c>
      <c r="B684" s="51" cm="1">
        <f t="array" ref="B684:B689">TRANSPOSE('Clash Matrix (Update to suit)'!AH65:AM65)</f>
        <v>0</v>
      </c>
      <c r="C684" s="5" t="str">
        <f>D684</f>
        <v>ELE_Electrical Equip.</v>
      </c>
      <c r="D684" s="5" t="str" cm="1">
        <f t="array" ref="D684:D689">TRANSPOSE('Clash Matrix (Update to suit)'!AH1:AM1)</f>
        <v>ELE_Electrical Equip.</v>
      </c>
      <c r="E684" s="5" t="str">
        <f t="shared" si="37"/>
        <v>NL-0-ELE_Electrical Equip. vs ELE_Electrical Equip.</v>
      </c>
    </row>
    <row r="685" spans="1:5" x14ac:dyDescent="0.25">
      <c r="A685" s="51" t="str">
        <v>T3</v>
      </c>
      <c r="B685" s="51" t="str">
        <v>C50</v>
      </c>
      <c r="C685" s="5" t="str">
        <f>D684</f>
        <v>ELE_Electrical Equip.</v>
      </c>
      <c r="D685" s="5" t="str">
        <v>ELE_Small Devices</v>
      </c>
      <c r="E685" s="5" t="str">
        <f t="shared" si="37"/>
        <v>NL-C50-ELE_Electrical Equip. vs ELE_Small Devices</v>
      </c>
    </row>
    <row r="686" spans="1:5" x14ac:dyDescent="0.25">
      <c r="A686" s="51" t="str">
        <v>T3</v>
      </c>
      <c r="B686" s="51" t="str">
        <v>C50</v>
      </c>
      <c r="C686" s="5" t="str">
        <f>D684</f>
        <v>ELE_Electrical Equip.</v>
      </c>
      <c r="D686" s="5" t="str">
        <v>ELE_Services Lighting Fixtures</v>
      </c>
      <c r="E686" s="5" t="str">
        <f t="shared" si="37"/>
        <v>NL-C50-ELE_Electrical Equip. vs ELE_Services Lighting Fixtures</v>
      </c>
    </row>
    <row r="687" spans="1:5" x14ac:dyDescent="0.25">
      <c r="A687" s="51" t="str">
        <v>T2</v>
      </c>
      <c r="B687" s="51" t="str">
        <v>C50</v>
      </c>
      <c r="C687" s="5" t="str">
        <f>D684</f>
        <v>ELE_Electrical Equip.</v>
      </c>
      <c r="D687" s="5" t="str">
        <v>FIR_Fire Pipes</v>
      </c>
      <c r="E687" s="5" t="str">
        <f t="shared" si="37"/>
        <v>NL-C50-ELE_Electrical Equip. vs FIR_Fire Pipes</v>
      </c>
    </row>
    <row r="688" spans="1:5" x14ac:dyDescent="0.25">
      <c r="A688" s="51" t="str">
        <v>T3</v>
      </c>
      <c r="B688" s="51" t="str">
        <v>C50</v>
      </c>
      <c r="C688" s="5" t="str">
        <f>D684</f>
        <v>ELE_Electrical Equip.</v>
      </c>
      <c r="D688" s="5" t="str">
        <v>FIR_Sprinklers Heads</v>
      </c>
      <c r="E688" s="5" t="str">
        <f t="shared" si="37"/>
        <v>NL-C50-ELE_Electrical Equip. vs FIR_Sprinklers Heads</v>
      </c>
    </row>
    <row r="689" spans="1:5" x14ac:dyDescent="0.25">
      <c r="A689" s="51" t="str">
        <v>T3</v>
      </c>
      <c r="B689" s="51" t="str">
        <v>C1500</v>
      </c>
      <c r="C689" s="5" t="str">
        <f>D684</f>
        <v>ELE_Electrical Equip.</v>
      </c>
      <c r="D689" s="5" t="str">
        <v>FIR_Heat or Smoke Detectors</v>
      </c>
      <c r="E689" s="5" t="str">
        <f t="shared" si="37"/>
        <v>NL-C1500-ELE_Electrical Equip. vs FIR_Heat or Smoke Detectors</v>
      </c>
    </row>
    <row r="690" spans="1:5" x14ac:dyDescent="0.25">
      <c r="A690" s="51" t="str" cm="1">
        <f t="array" ref="A690:A694">TRANSPOSE('Clash Matrix (Update to suit)'!AI66:AM66)</f>
        <v>T3</v>
      </c>
      <c r="B690" s="51" t="str" cm="1">
        <f t="array" ref="B690:B694">TRANSPOSE('Clash Matrix (Update to suit)'!AI67:AM67)</f>
        <v>C50</v>
      </c>
      <c r="C690" s="5" t="s">
        <v>117</v>
      </c>
      <c r="D690" s="5" t="str" cm="1">
        <f t="array" ref="D690:D694">TRANSPOSE('Clash Matrix (Update to suit)'!AI1:AM1)</f>
        <v>ELE_Small Devices</v>
      </c>
      <c r="E690" s="5" t="str">
        <f t="shared" si="37"/>
        <v>NL-C50-ELE_Small Devices vs ELE_Small Devices</v>
      </c>
    </row>
    <row r="691" spans="1:5" x14ac:dyDescent="0.25">
      <c r="A691" s="51" t="str">
        <v>T3</v>
      </c>
      <c r="B691" s="51" t="str">
        <v>C50</v>
      </c>
      <c r="C691" s="5" t="s">
        <v>117</v>
      </c>
      <c r="D691" s="5" t="str">
        <v>ELE_Services Lighting Fixtures</v>
      </c>
      <c r="E691" s="5" t="str">
        <f t="shared" si="37"/>
        <v>NL-C50-ELE_Small Devices vs ELE_Services Lighting Fixtures</v>
      </c>
    </row>
    <row r="692" spans="1:5" x14ac:dyDescent="0.25">
      <c r="A692" s="51" t="str">
        <v>T3</v>
      </c>
      <c r="B692" s="51" t="str">
        <v>C50</v>
      </c>
      <c r="C692" s="5" t="s">
        <v>117</v>
      </c>
      <c r="D692" s="5" t="str">
        <v>FIR_Fire Pipes</v>
      </c>
      <c r="E692" s="5" t="str">
        <f t="shared" si="37"/>
        <v>NL-C50-ELE_Small Devices vs FIR_Fire Pipes</v>
      </c>
    </row>
    <row r="693" spans="1:5" x14ac:dyDescent="0.25">
      <c r="A693" s="51" t="str">
        <v>T3</v>
      </c>
      <c r="B693" s="51" t="str">
        <v>C50</v>
      </c>
      <c r="C693" s="5" t="s">
        <v>117</v>
      </c>
      <c r="D693" s="5" t="str">
        <v>FIR_Sprinklers Heads</v>
      </c>
      <c r="E693" s="5" t="str">
        <f t="shared" si="37"/>
        <v>NL-C50-ELE_Small Devices vs FIR_Sprinklers Heads</v>
      </c>
    </row>
    <row r="694" spans="1:5" x14ac:dyDescent="0.25">
      <c r="A694" s="51" t="str">
        <v>T3</v>
      </c>
      <c r="B694" s="51" t="str">
        <v>C50</v>
      </c>
      <c r="C694" s="5" t="s">
        <v>117</v>
      </c>
      <c r="D694" s="5" t="str">
        <v>FIR_Heat or Smoke Detectors</v>
      </c>
      <c r="E694" s="5" t="str">
        <f t="shared" si="37"/>
        <v>NL-C50-ELE_Small Devices vs FIR_Heat or Smoke Detectors</v>
      </c>
    </row>
    <row r="695" spans="1:5" x14ac:dyDescent="0.25">
      <c r="A695" s="51" t="str" cm="1">
        <f t="array" ref="A695:A698">TRANSPOSE('Clash Matrix (Update to suit)'!AJ68:AM68)</f>
        <v>T3</v>
      </c>
      <c r="B695" s="51" t="str" cm="1">
        <f t="array" ref="B695:B698">TRANSPOSE('Clash Matrix (Update to suit)'!AJ69:AM69)</f>
        <v>C50</v>
      </c>
      <c r="C695" s="5" t="s">
        <v>127</v>
      </c>
      <c r="D695" s="5" t="str" cm="1">
        <f t="array" ref="D695:D698">TRANSPOSE('Clash Matrix (Update to suit)'!AJ1:AM1)</f>
        <v>ELE_Services Lighting Fixtures</v>
      </c>
      <c r="E695" s="5" t="str">
        <f t="shared" si="37"/>
        <v>NL-C50-ELE_Services Lighting Fixtures vs ELE_Services Lighting Fixtures</v>
      </c>
    </row>
    <row r="696" spans="1:5" x14ac:dyDescent="0.25">
      <c r="A696" s="51" t="str">
        <v>T3</v>
      </c>
      <c r="B696" s="51" t="str">
        <v>C50</v>
      </c>
      <c r="C696" s="5" t="s">
        <v>127</v>
      </c>
      <c r="D696" s="5" t="str">
        <v>FIR_Fire Pipes</v>
      </c>
      <c r="E696" s="5" t="str">
        <f t="shared" si="37"/>
        <v>NL-C50-ELE_Services Lighting Fixtures vs FIR_Fire Pipes</v>
      </c>
    </row>
    <row r="697" spans="1:5" x14ac:dyDescent="0.25">
      <c r="A697" s="51" t="str">
        <v>T3</v>
      </c>
      <c r="B697" s="51" t="str">
        <v>C50</v>
      </c>
      <c r="C697" s="5" t="s">
        <v>127</v>
      </c>
      <c r="D697" s="5" t="str">
        <v>FIR_Sprinklers Heads</v>
      </c>
      <c r="E697" s="5" t="str">
        <f t="shared" si="37"/>
        <v>NL-C50-ELE_Services Lighting Fixtures vs FIR_Sprinklers Heads</v>
      </c>
    </row>
    <row r="698" spans="1:5" x14ac:dyDescent="0.25">
      <c r="A698" s="51" t="str">
        <v>T3</v>
      </c>
      <c r="B698" s="51" t="str">
        <v>C50</v>
      </c>
      <c r="C698" s="5" t="s">
        <v>127</v>
      </c>
      <c r="D698" s="5" t="str">
        <v>FIR_Heat or Smoke Detectors</v>
      </c>
      <c r="E698" s="5" t="str">
        <f t="shared" si="37"/>
        <v>NL-C50-ELE_Services Lighting Fixtures vs FIR_Heat or Smoke Detectors</v>
      </c>
    </row>
    <row r="699" spans="1:5" x14ac:dyDescent="0.25">
      <c r="A699" s="51" cm="1">
        <f t="array" ref="A699:A701">TRANSPOSE('Clash Matrix (Update to suit)'!AK70:AM70)</f>
        <v>0</v>
      </c>
      <c r="B699" s="51" cm="1">
        <f t="array" ref="B699:B701">TRANSPOSE('Clash Matrix (Update to suit)'!AK71:AM71)</f>
        <v>0</v>
      </c>
      <c r="C699" s="5" t="s">
        <v>118</v>
      </c>
      <c r="D699" s="5" t="str" cm="1">
        <f t="array" ref="D699:D701">TRANSPOSE('Clash Matrix (Update to suit)'!AK1:AM1)</f>
        <v>FIR_Fire Pipes</v>
      </c>
      <c r="E699" s="5" t="str">
        <f t="shared" si="37"/>
        <v>NL-0-FIR_Fire Pipes vs FIR_Fire Pipes</v>
      </c>
    </row>
    <row r="700" spans="1:5" x14ac:dyDescent="0.25">
      <c r="A700" s="51" t="str">
        <v>T2</v>
      </c>
      <c r="B700" s="51" t="str">
        <v>C50</v>
      </c>
      <c r="C700" s="5" t="s">
        <v>118</v>
      </c>
      <c r="D700" s="5" t="str">
        <v>FIR_Sprinklers Heads</v>
      </c>
      <c r="E700" s="5" t="str">
        <f t="shared" si="37"/>
        <v>NL-C50-FIR_Fire Pipes vs FIR_Sprinklers Heads</v>
      </c>
    </row>
    <row r="701" spans="1:5" x14ac:dyDescent="0.25">
      <c r="A701" s="51" t="str">
        <v>T2</v>
      </c>
      <c r="B701" s="51" t="str">
        <v>C50</v>
      </c>
      <c r="C701" s="5" t="s">
        <v>118</v>
      </c>
      <c r="D701" s="5" t="str">
        <v>FIR_Heat or Smoke Detectors</v>
      </c>
      <c r="E701" s="5" t="str">
        <f t="shared" ref="E701:E704" si="38">"NL-"&amp;B701&amp; "-"&amp; C701&amp;" vs "&amp;D701</f>
        <v>NL-C50-FIR_Fire Pipes vs FIR_Heat or Smoke Detectors</v>
      </c>
    </row>
    <row r="702" spans="1:5" x14ac:dyDescent="0.25">
      <c r="A702" s="51" t="str" cm="1">
        <f t="array" ref="A702:A703">TRANSPOSE('Clash Matrix (Update to suit)'!AL72:AM72)</f>
        <v>T3</v>
      </c>
      <c r="B702" s="51" t="str" cm="1">
        <f t="array" ref="B702:B703">TRANSPOSE('Clash Matrix (Update to suit)'!AL73:AM73)</f>
        <v>HC</v>
      </c>
      <c r="C702" s="5" t="str">
        <f>D702</f>
        <v>FIR_Sprinklers Heads</v>
      </c>
      <c r="D702" s="5" t="str" cm="1">
        <f t="array" ref="D702:D703">TRANSPOSE('Clash Matrix (Update to suit)'!AL1:AM1)</f>
        <v>FIR_Sprinklers Heads</v>
      </c>
      <c r="E702" s="5" t="str">
        <f t="shared" si="38"/>
        <v>NL-HC-FIR_Sprinklers Heads vs FIR_Sprinklers Heads</v>
      </c>
    </row>
    <row r="703" spans="1:5" x14ac:dyDescent="0.25">
      <c r="A703" s="51" t="str">
        <v>T3</v>
      </c>
      <c r="B703" s="51" t="str">
        <v>C1500</v>
      </c>
      <c r="C703" s="5" t="str">
        <f>C702</f>
        <v>FIR_Sprinklers Heads</v>
      </c>
      <c r="D703" s="5" t="str">
        <v>FIR_Heat or Smoke Detectors</v>
      </c>
      <c r="E703" s="5" t="str">
        <f t="shared" si="38"/>
        <v>NL-C1500-FIR_Sprinklers Heads vs FIR_Heat or Smoke Detectors</v>
      </c>
    </row>
    <row r="704" spans="1:5" x14ac:dyDescent="0.25">
      <c r="A704" s="51" t="str" cm="1">
        <f t="array" ref="A704">TRANSPOSE('Clash Matrix (Update to suit)'!AM74:AM74)</f>
        <v>T3</v>
      </c>
      <c r="B704" s="51" t="str" cm="1">
        <f t="array" ref="B704">TRANSPOSE('Clash Matrix (Update to suit)'!AM75:AM75)</f>
        <v>HC</v>
      </c>
      <c r="C704" s="5" t="str">
        <f>D704</f>
        <v>FIR_Heat or Smoke Detectors</v>
      </c>
      <c r="D704" s="5" t="str" cm="1">
        <f t="array" ref="D704">TRANSPOSE('Clash Matrix (Update to suit)'!AM1:AM1)</f>
        <v>FIR_Heat or Smoke Detectors</v>
      </c>
      <c r="E704" s="5" t="str">
        <f t="shared" si="38"/>
        <v>NL-HC-FIR_Heat or Smoke Detectors vs FIR_Heat or Smoke Detectors</v>
      </c>
    </row>
  </sheetData>
  <phoneticPr fontId="7"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C4D7D-5711-4952-B65B-06C9704A9750}">
  <sheetPr codeName="Sheet3"/>
  <dimension ref="A1:C19"/>
  <sheetViews>
    <sheetView tabSelected="1" zoomScaleNormal="100" workbookViewId="0">
      <selection activeCell="C20" sqref="C20"/>
    </sheetView>
  </sheetViews>
  <sheetFormatPr defaultRowHeight="15" x14ac:dyDescent="0.25"/>
  <cols>
    <col min="1" max="1" width="11.5703125" bestFit="1" customWidth="1"/>
    <col min="2" max="2" width="39.42578125" style="10" bestFit="1" customWidth="1"/>
    <col min="3" max="3" width="30.140625" bestFit="1" customWidth="1"/>
  </cols>
  <sheetData>
    <row r="1" spans="1:3" x14ac:dyDescent="0.25">
      <c r="A1" s="84" t="s">
        <v>71</v>
      </c>
      <c r="B1" s="85"/>
      <c r="C1" s="85"/>
    </row>
    <row r="2" spans="1:3" hidden="1" x14ac:dyDescent="0.25">
      <c r="A2" s="11" t="s">
        <v>72</v>
      </c>
      <c r="B2" s="48" t="s">
        <v>73</v>
      </c>
      <c r="C2" s="11" t="s">
        <v>24</v>
      </c>
    </row>
    <row r="3" spans="1:3" ht="30" hidden="1" customHeight="1" x14ac:dyDescent="0.25">
      <c r="A3" s="20" t="s">
        <v>74</v>
      </c>
      <c r="B3" s="80" t="s">
        <v>75</v>
      </c>
      <c r="C3" s="82"/>
    </row>
    <row r="4" spans="1:3" ht="30" hidden="1" customHeight="1" x14ac:dyDescent="0.25">
      <c r="A4" s="7" t="s">
        <v>76</v>
      </c>
      <c r="B4" s="81"/>
      <c r="C4" s="83"/>
    </row>
    <row r="5" spans="1:3" ht="60" hidden="1" x14ac:dyDescent="0.25">
      <c r="A5" s="8" t="s">
        <v>70</v>
      </c>
      <c r="B5" s="19" t="s">
        <v>77</v>
      </c>
      <c r="C5" s="6" t="s">
        <v>78</v>
      </c>
    </row>
    <row r="6" spans="1:3" ht="60" hidden="1" x14ac:dyDescent="0.25">
      <c r="A6" s="9" t="s">
        <v>79</v>
      </c>
      <c r="B6" s="19" t="s">
        <v>80</v>
      </c>
      <c r="C6" s="6" t="s">
        <v>78</v>
      </c>
    </row>
    <row r="7" spans="1:3" ht="30" hidden="1" x14ac:dyDescent="0.25">
      <c r="A7" s="17" t="s">
        <v>81</v>
      </c>
      <c r="B7" s="18" t="s">
        <v>82</v>
      </c>
      <c r="C7" s="5"/>
    </row>
    <row r="8" spans="1:3" ht="15" customHeight="1" x14ac:dyDescent="0.25">
      <c r="A8" s="77" t="s">
        <v>141</v>
      </c>
      <c r="B8" s="78"/>
      <c r="C8" s="79"/>
    </row>
    <row r="9" spans="1:3" x14ac:dyDescent="0.25">
      <c r="A9" s="24" t="s">
        <v>66</v>
      </c>
      <c r="B9" s="54" t="s">
        <v>83</v>
      </c>
      <c r="C9" s="55" t="s">
        <v>142</v>
      </c>
    </row>
    <row r="10" spans="1:3" ht="26.25" x14ac:dyDescent="0.25">
      <c r="A10" s="24" t="s">
        <v>150</v>
      </c>
      <c r="B10" s="54" t="s">
        <v>152</v>
      </c>
      <c r="C10" s="55"/>
    </row>
    <row r="11" spans="1:3" ht="26.25" x14ac:dyDescent="0.25">
      <c r="A11" s="25" t="s">
        <v>151</v>
      </c>
      <c r="B11" s="54" t="s">
        <v>153</v>
      </c>
      <c r="C11" s="55"/>
    </row>
    <row r="12" spans="1:3" x14ac:dyDescent="0.25">
      <c r="A12" s="23" t="s">
        <v>65</v>
      </c>
      <c r="B12" s="54" t="s">
        <v>84</v>
      </c>
      <c r="C12" s="55"/>
    </row>
    <row r="13" spans="1:3" ht="26.25" x14ac:dyDescent="0.25">
      <c r="A13" s="59" t="s">
        <v>156</v>
      </c>
      <c r="B13" s="54" t="s">
        <v>157</v>
      </c>
      <c r="C13" s="60"/>
    </row>
    <row r="14" spans="1:3" x14ac:dyDescent="0.25">
      <c r="A14" s="77" t="s">
        <v>67</v>
      </c>
      <c r="B14" s="78"/>
      <c r="C14" s="79"/>
    </row>
    <row r="15" spans="1:3" ht="60.75" x14ac:dyDescent="0.25">
      <c r="A15" s="26" t="s">
        <v>121</v>
      </c>
      <c r="B15" s="57" t="s">
        <v>145</v>
      </c>
      <c r="C15" s="53" t="s">
        <v>167</v>
      </c>
    </row>
    <row r="16" spans="1:3" ht="96.75" x14ac:dyDescent="0.25">
      <c r="A16" s="26" t="s">
        <v>122</v>
      </c>
      <c r="B16" s="57" t="s">
        <v>144</v>
      </c>
      <c r="C16" s="53" t="s">
        <v>168</v>
      </c>
    </row>
    <row r="17" spans="1:3" ht="48" x14ac:dyDescent="0.25">
      <c r="A17" s="26" t="s">
        <v>123</v>
      </c>
      <c r="B17" s="57" t="s">
        <v>146</v>
      </c>
      <c r="C17" s="58" t="s">
        <v>143</v>
      </c>
    </row>
    <row r="18" spans="1:3" ht="24.75" x14ac:dyDescent="0.25">
      <c r="A18" s="43" t="s">
        <v>124</v>
      </c>
      <c r="B18" s="57" t="s">
        <v>129</v>
      </c>
      <c r="C18" s="53" t="s">
        <v>198</v>
      </c>
    </row>
    <row r="19" spans="1:3" ht="24" x14ac:dyDescent="0.25">
      <c r="A19" s="66" t="s">
        <v>181</v>
      </c>
      <c r="B19" s="105" t="s">
        <v>182</v>
      </c>
      <c r="C19" s="58" t="s">
        <v>199</v>
      </c>
    </row>
  </sheetData>
  <mergeCells count="5">
    <mergeCell ref="A14:C14"/>
    <mergeCell ref="A8:C8"/>
    <mergeCell ref="B3:B4"/>
    <mergeCell ref="C3:C4"/>
    <mergeCell ref="A1:C1"/>
  </mergeCells>
  <phoneticPr fontId="7" type="noConversion"/>
  <conditionalFormatting sqref="A15:A19">
    <cfRule type="cellIs" dxfId="11" priority="5496" operator="equal">
      <formula>"T4"</formula>
    </cfRule>
    <cfRule type="cellIs" dxfId="10" priority="5497" operator="equal">
      <formula>"T3"</formula>
    </cfRule>
    <cfRule type="cellIs" dxfId="9" priority="5498" operator="equal">
      <formula>"T2"</formula>
    </cfRule>
    <cfRule type="cellIs" dxfId="8" priority="5499" operator="equal">
      <formula>"T1"</formula>
    </cfRule>
    <cfRule type="cellIs" dxfId="7" priority="5500" operator="equal">
      <formula>"B"</formula>
    </cfRule>
    <cfRule type="cellIs" dxfId="6" priority="5501" operator="equal">
      <formula>"C"</formula>
    </cfRule>
    <cfRule type="cellIs" dxfId="5" priority="5502" operator="equal">
      <formula>$A$11</formula>
    </cfRule>
    <cfRule type="cellIs" dxfId="4" priority="5503" operator="equal">
      <formula>"SC"</formula>
    </cfRule>
    <cfRule type="cellIs" dxfId="3" priority="5504" operator="equal">
      <formula>"HC"</formula>
    </cfRule>
    <cfRule type="cellIs" dxfId="2" priority="5505" operator="equal">
      <formula>$A$10</formula>
    </cfRule>
    <cfRule type="cellIs" dxfId="1" priority="5506" operator="equal">
      <formula>$A$9</formula>
    </cfRule>
    <cfRule type="cellIs" dxfId="0" priority="5507" operator="equal">
      <formula>#REF!</formula>
    </cfRule>
  </conditionalFormatting>
  <pageMargins left="0.7" right="0.7" top="0.75" bottom="0.75" header="0.3" footer="0.3"/>
  <pageSetup paperSize="9" orientation="portrait" r:id="rId1"/>
  <headerFooter>
    <oddHeader>&amp;R&amp;G</oddHeader>
    <oddFooter>&amp;L&amp;"-,Bold"&amp;8&amp;F: &amp;A&amp;"-,Regular"
Guideline, Filing location: BIM&amp;C&amp;8Page &amp;P of &amp;N
&amp;R&amp;"-,Bold"&amp;8Rev 1.0&amp;"-,Regular"
Owner: Group Manager - Digital</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11E83-D3FC-4BC7-9AAF-D411F4044D2E}">
  <sheetPr codeName="Sheet4"/>
  <dimension ref="A1:E38"/>
  <sheetViews>
    <sheetView topLeftCell="A5" workbookViewId="0">
      <selection activeCell="C7" sqref="C7"/>
    </sheetView>
  </sheetViews>
  <sheetFormatPr defaultColWidth="21.28515625" defaultRowHeight="15" x14ac:dyDescent="0.25"/>
  <cols>
    <col min="1" max="1" width="9.85546875" style="45" customWidth="1"/>
    <col min="2" max="2" width="33.42578125" bestFit="1" customWidth="1"/>
    <col min="3" max="3" width="51.42578125" bestFit="1" customWidth="1"/>
    <col min="4" max="4" width="66.140625" bestFit="1" customWidth="1"/>
    <col min="5" max="5" width="69.28515625" bestFit="1" customWidth="1"/>
  </cols>
  <sheetData>
    <row r="1" spans="1:5" s="3" customFormat="1" x14ac:dyDescent="0.25">
      <c r="A1" s="47" t="s">
        <v>22</v>
      </c>
      <c r="B1" s="3" t="s">
        <v>23</v>
      </c>
      <c r="C1" s="3" t="s">
        <v>169</v>
      </c>
      <c r="D1" s="3" t="s">
        <v>120</v>
      </c>
      <c r="E1" s="3" t="s">
        <v>24</v>
      </c>
    </row>
    <row r="2" spans="1:5" ht="30" x14ac:dyDescent="0.25">
      <c r="A2" s="46" t="s">
        <v>25</v>
      </c>
      <c r="B2" s="1" t="s">
        <v>26</v>
      </c>
      <c r="C2" s="1" t="s">
        <v>106</v>
      </c>
      <c r="D2" s="1" t="s">
        <v>27</v>
      </c>
      <c r="E2" s="21" t="s">
        <v>28</v>
      </c>
    </row>
    <row r="3" spans="1:5" x14ac:dyDescent="0.25">
      <c r="A3" s="46" t="s">
        <v>25</v>
      </c>
      <c r="B3" s="1" t="s">
        <v>26</v>
      </c>
      <c r="C3" s="1" t="s">
        <v>107</v>
      </c>
      <c r="D3" s="1" t="s">
        <v>29</v>
      </c>
    </row>
    <row r="4" spans="1:5" ht="30" x14ac:dyDescent="0.25">
      <c r="A4" s="46" t="s">
        <v>25</v>
      </c>
      <c r="B4" s="1" t="s">
        <v>26</v>
      </c>
      <c r="C4" s="1" t="s">
        <v>108</v>
      </c>
      <c r="D4" s="1" t="s">
        <v>30</v>
      </c>
      <c r="E4" s="21" t="s">
        <v>31</v>
      </c>
    </row>
    <row r="5" spans="1:5" ht="45" x14ac:dyDescent="0.25">
      <c r="A5" s="46" t="s">
        <v>25</v>
      </c>
      <c r="B5" s="1" t="s">
        <v>26</v>
      </c>
      <c r="C5" s="1" t="s">
        <v>109</v>
      </c>
      <c r="D5" s="1" t="s">
        <v>32</v>
      </c>
      <c r="E5" s="10" t="s">
        <v>33</v>
      </c>
    </row>
    <row r="6" spans="1:5" x14ac:dyDescent="0.25">
      <c r="A6" s="46" t="s">
        <v>25</v>
      </c>
      <c r="B6" s="1" t="s">
        <v>26</v>
      </c>
      <c r="C6" s="1" t="s">
        <v>110</v>
      </c>
      <c r="D6" s="1" t="s">
        <v>34</v>
      </c>
    </row>
    <row r="7" spans="1:5" x14ac:dyDescent="0.25">
      <c r="A7" s="46" t="s">
        <v>25</v>
      </c>
      <c r="B7" s="1" t="s">
        <v>26</v>
      </c>
      <c r="C7" s="1" t="s">
        <v>196</v>
      </c>
      <c r="D7" s="1" t="s">
        <v>197</v>
      </c>
    </row>
    <row r="8" spans="1:5" x14ac:dyDescent="0.25">
      <c r="A8" s="46" t="s">
        <v>25</v>
      </c>
      <c r="B8" s="1" t="s">
        <v>26</v>
      </c>
      <c r="C8" s="1" t="s">
        <v>111</v>
      </c>
      <c r="D8" s="1" t="s">
        <v>35</v>
      </c>
    </row>
    <row r="9" spans="1:5" x14ac:dyDescent="0.25">
      <c r="A9" s="46" t="s">
        <v>25</v>
      </c>
      <c r="B9" s="1" t="s">
        <v>26</v>
      </c>
      <c r="C9" s="1" t="s">
        <v>112</v>
      </c>
      <c r="D9" s="1" t="s">
        <v>36</v>
      </c>
      <c r="E9" t="s">
        <v>37</v>
      </c>
    </row>
    <row r="10" spans="1:5" x14ac:dyDescent="0.25">
      <c r="A10" s="46" t="s">
        <v>25</v>
      </c>
      <c r="B10" s="1" t="s">
        <v>26</v>
      </c>
      <c r="C10" s="1" t="s">
        <v>113</v>
      </c>
      <c r="D10" s="1" t="s">
        <v>38</v>
      </c>
      <c r="E10" t="s">
        <v>39</v>
      </c>
    </row>
    <row r="11" spans="1:5" x14ac:dyDescent="0.25">
      <c r="A11" s="46" t="s">
        <v>52</v>
      </c>
      <c r="B11" s="1" t="s">
        <v>179</v>
      </c>
      <c r="C11" s="1" t="s">
        <v>180</v>
      </c>
      <c r="D11" s="1" t="s">
        <v>40</v>
      </c>
      <c r="E11" t="s">
        <v>41</v>
      </c>
    </row>
    <row r="12" spans="1:5" x14ac:dyDescent="0.25">
      <c r="A12" s="46" t="s">
        <v>25</v>
      </c>
      <c r="B12" s="1" t="s">
        <v>26</v>
      </c>
      <c r="C12" s="1" t="s">
        <v>128</v>
      </c>
      <c r="D12" s="1" t="s">
        <v>42</v>
      </c>
    </row>
    <row r="13" spans="1:5" ht="33.75" customHeight="1" x14ac:dyDescent="0.25">
      <c r="A13" s="46" t="s">
        <v>25</v>
      </c>
      <c r="B13" s="1" t="s">
        <v>26</v>
      </c>
      <c r="C13" s="1" t="s">
        <v>114</v>
      </c>
      <c r="D13" s="1" t="s">
        <v>43</v>
      </c>
      <c r="E13" s="10" t="s">
        <v>92</v>
      </c>
    </row>
    <row r="14" spans="1:5" ht="33.75" customHeight="1" x14ac:dyDescent="0.25">
      <c r="A14" s="46" t="s">
        <v>25</v>
      </c>
      <c r="B14" s="1" t="s">
        <v>26</v>
      </c>
      <c r="C14" s="1" t="s">
        <v>158</v>
      </c>
      <c r="D14" s="1" t="s">
        <v>159</v>
      </c>
      <c r="E14" s="10" t="s">
        <v>160</v>
      </c>
    </row>
    <row r="15" spans="1:5" x14ac:dyDescent="0.25">
      <c r="A15" s="46" t="s">
        <v>44</v>
      </c>
      <c r="B15" s="1" t="s">
        <v>97</v>
      </c>
      <c r="C15" s="1" t="s">
        <v>102</v>
      </c>
      <c r="D15" s="1" t="s">
        <v>45</v>
      </c>
    </row>
    <row r="16" spans="1:5" x14ac:dyDescent="0.25">
      <c r="A16" s="46" t="s">
        <v>44</v>
      </c>
      <c r="B16" s="1" t="s">
        <v>97</v>
      </c>
      <c r="C16" s="1" t="s">
        <v>103</v>
      </c>
      <c r="D16" s="1" t="s">
        <v>46</v>
      </c>
    </row>
    <row r="17" spans="1:5" x14ac:dyDescent="0.25">
      <c r="A17" s="46" t="s">
        <v>44</v>
      </c>
      <c r="B17" s="1" t="s">
        <v>97</v>
      </c>
      <c r="C17" s="1" t="s">
        <v>104</v>
      </c>
      <c r="D17" s="1" t="s">
        <v>47</v>
      </c>
    </row>
    <row r="18" spans="1:5" x14ac:dyDescent="0.25">
      <c r="A18" s="46" t="s">
        <v>44</v>
      </c>
      <c r="B18" s="1" t="s">
        <v>97</v>
      </c>
      <c r="C18" s="1" t="s">
        <v>48</v>
      </c>
      <c r="D18" s="1" t="s">
        <v>49</v>
      </c>
    </row>
    <row r="19" spans="1:5" x14ac:dyDescent="0.25">
      <c r="A19" s="46" t="s">
        <v>50</v>
      </c>
      <c r="B19" s="1" t="s">
        <v>98</v>
      </c>
      <c r="C19" s="1" t="s">
        <v>188</v>
      </c>
      <c r="D19" s="1" t="s">
        <v>171</v>
      </c>
    </row>
    <row r="20" spans="1:5" x14ac:dyDescent="0.25">
      <c r="A20" s="46" t="s">
        <v>50</v>
      </c>
      <c r="B20" s="1" t="s">
        <v>98</v>
      </c>
      <c r="C20" s="1" t="s">
        <v>184</v>
      </c>
      <c r="D20" s="1" t="s">
        <v>183</v>
      </c>
    </row>
    <row r="21" spans="1:5" x14ac:dyDescent="0.25">
      <c r="A21" s="46" t="s">
        <v>50</v>
      </c>
      <c r="B21" s="1" t="s">
        <v>98</v>
      </c>
      <c r="C21" s="1" t="s">
        <v>187</v>
      </c>
      <c r="D21" s="1" t="s">
        <v>51</v>
      </c>
    </row>
    <row r="22" spans="1:5" x14ac:dyDescent="0.25">
      <c r="A22" s="46" t="s">
        <v>50</v>
      </c>
      <c r="B22" s="1" t="s">
        <v>98</v>
      </c>
      <c r="C22" s="1" t="s">
        <v>185</v>
      </c>
      <c r="D22" s="1" t="s">
        <v>186</v>
      </c>
    </row>
    <row r="23" spans="1:5" x14ac:dyDescent="0.25">
      <c r="A23" s="46" t="s">
        <v>50</v>
      </c>
      <c r="B23" s="1" t="s">
        <v>98</v>
      </c>
      <c r="C23" t="s">
        <v>177</v>
      </c>
      <c r="D23" t="s">
        <v>177</v>
      </c>
    </row>
    <row r="24" spans="1:5" x14ac:dyDescent="0.25">
      <c r="A24" s="46" t="s">
        <v>52</v>
      </c>
      <c r="B24" s="1" t="s">
        <v>99</v>
      </c>
      <c r="C24" s="1" t="s">
        <v>105</v>
      </c>
      <c r="D24" s="1" t="s">
        <v>53</v>
      </c>
    </row>
    <row r="25" spans="1:5" x14ac:dyDescent="0.25">
      <c r="A25" s="46" t="s">
        <v>52</v>
      </c>
      <c r="B25" s="1" t="s">
        <v>99</v>
      </c>
      <c r="C25" s="1" t="s">
        <v>192</v>
      </c>
      <c r="D25" s="1" t="s">
        <v>172</v>
      </c>
      <c r="E25" s="1" t="s">
        <v>95</v>
      </c>
    </row>
    <row r="26" spans="1:5" x14ac:dyDescent="0.25">
      <c r="A26" s="46" t="s">
        <v>52</v>
      </c>
      <c r="B26" s="1" t="s">
        <v>99</v>
      </c>
      <c r="C26" s="1" t="s">
        <v>189</v>
      </c>
      <c r="D26" s="1" t="s">
        <v>190</v>
      </c>
    </row>
    <row r="27" spans="1:5" x14ac:dyDescent="0.25">
      <c r="A27" s="46" t="s">
        <v>52</v>
      </c>
      <c r="B27" s="1" t="s">
        <v>99</v>
      </c>
      <c r="C27" s="1" t="s">
        <v>191</v>
      </c>
      <c r="D27" s="1" t="s">
        <v>174</v>
      </c>
    </row>
    <row r="28" spans="1:5" x14ac:dyDescent="0.25">
      <c r="A28" s="46" t="s">
        <v>52</v>
      </c>
      <c r="B28" s="1" t="s">
        <v>99</v>
      </c>
      <c r="C28" s="1" t="s">
        <v>193</v>
      </c>
      <c r="D28" s="1" t="s">
        <v>175</v>
      </c>
    </row>
    <row r="29" spans="1:5" x14ac:dyDescent="0.25">
      <c r="A29" s="46" t="s">
        <v>52</v>
      </c>
      <c r="B29" s="1" t="s">
        <v>99</v>
      </c>
      <c r="C29" s="1" t="s">
        <v>194</v>
      </c>
      <c r="D29" s="1" t="s">
        <v>195</v>
      </c>
    </row>
    <row r="30" spans="1:5" ht="30" x14ac:dyDescent="0.25">
      <c r="A30" s="46" t="s">
        <v>52</v>
      </c>
      <c r="B30" s="1" t="s">
        <v>99</v>
      </c>
      <c r="C30" s="1" t="s">
        <v>173</v>
      </c>
      <c r="D30" s="1" t="s">
        <v>54</v>
      </c>
      <c r="E30" s="10" t="s">
        <v>93</v>
      </c>
    </row>
    <row r="31" spans="1:5" x14ac:dyDescent="0.25">
      <c r="A31" s="46" t="s">
        <v>55</v>
      </c>
      <c r="B31" s="1" t="s">
        <v>100</v>
      </c>
      <c r="C31" s="1" t="s">
        <v>115</v>
      </c>
      <c r="D31" s="1" t="s">
        <v>56</v>
      </c>
    </row>
    <row r="32" spans="1:5" x14ac:dyDescent="0.25">
      <c r="A32" s="46" t="s">
        <v>55</v>
      </c>
      <c r="B32" s="1" t="s">
        <v>100</v>
      </c>
      <c r="C32" s="1" t="s">
        <v>147</v>
      </c>
      <c r="D32" s="1" t="s">
        <v>148</v>
      </c>
      <c r="E32" s="1" t="s">
        <v>57</v>
      </c>
    </row>
    <row r="33" spans="1:5" ht="30" x14ac:dyDescent="0.25">
      <c r="A33" s="46" t="s">
        <v>55</v>
      </c>
      <c r="B33" s="1" t="s">
        <v>100</v>
      </c>
      <c r="C33" s="1" t="s">
        <v>116</v>
      </c>
      <c r="D33" s="1" t="s">
        <v>58</v>
      </c>
      <c r="E33" s="10" t="s">
        <v>93</v>
      </c>
    </row>
    <row r="34" spans="1:5" ht="30" x14ac:dyDescent="0.25">
      <c r="A34" s="46" t="s">
        <v>55</v>
      </c>
      <c r="B34" s="1" t="s">
        <v>100</v>
      </c>
      <c r="C34" s="37" t="s">
        <v>117</v>
      </c>
      <c r="D34" s="13" t="s">
        <v>59</v>
      </c>
      <c r="E34" s="22" t="s">
        <v>60</v>
      </c>
    </row>
    <row r="35" spans="1:5" ht="30" x14ac:dyDescent="0.25">
      <c r="A35" s="46" t="s">
        <v>55</v>
      </c>
      <c r="B35" s="1" t="s">
        <v>100</v>
      </c>
      <c r="C35" s="1" t="s">
        <v>127</v>
      </c>
      <c r="D35" s="1" t="s">
        <v>96</v>
      </c>
      <c r="E35" s="10" t="s">
        <v>94</v>
      </c>
    </row>
    <row r="36" spans="1:5" x14ac:dyDescent="0.25">
      <c r="A36" s="46" t="s">
        <v>61</v>
      </c>
      <c r="B36" s="1" t="s">
        <v>101</v>
      </c>
      <c r="C36" s="1" t="s">
        <v>118</v>
      </c>
      <c r="D36" s="1" t="s">
        <v>154</v>
      </c>
    </row>
    <row r="37" spans="1:5" x14ac:dyDescent="0.25">
      <c r="A37" s="46" t="s">
        <v>61</v>
      </c>
      <c r="B37" s="1" t="s">
        <v>101</v>
      </c>
      <c r="C37" s="1" t="s">
        <v>119</v>
      </c>
      <c r="D37" s="1" t="s">
        <v>62</v>
      </c>
    </row>
    <row r="38" spans="1:5" x14ac:dyDescent="0.25">
      <c r="A38" s="46" t="s">
        <v>61</v>
      </c>
      <c r="B38" s="1" t="s">
        <v>161</v>
      </c>
      <c r="C38" s="1" t="s">
        <v>162</v>
      </c>
      <c r="D38" s="1" t="s">
        <v>163</v>
      </c>
      <c r="E38" s="1"/>
    </row>
  </sheetData>
  <sortState xmlns:xlrd2="http://schemas.microsoft.com/office/spreadsheetml/2017/richdata2" ref="B2:E38">
    <sortCondition ref="B6:B38"/>
  </sortState>
  <phoneticPr fontId="7"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07928-904F-487A-B88D-8AABE91EAA46}">
  <sheetPr codeName="Sheet6"/>
  <dimension ref="A1:G20"/>
  <sheetViews>
    <sheetView zoomScaleNormal="100" workbookViewId="0">
      <selection activeCell="A12" sqref="A12:C12"/>
    </sheetView>
  </sheetViews>
  <sheetFormatPr defaultRowHeight="15" x14ac:dyDescent="0.25"/>
  <cols>
    <col min="1" max="1" width="48.7109375" customWidth="1"/>
    <col min="2" max="2" width="13" customWidth="1"/>
    <col min="3" max="3" width="15.7109375" customWidth="1"/>
    <col min="5" max="5" width="90.140625" customWidth="1"/>
  </cols>
  <sheetData>
    <row r="1" spans="1:7" x14ac:dyDescent="0.25">
      <c r="A1" s="11" t="s">
        <v>0</v>
      </c>
      <c r="B1" s="99" t="s">
        <v>1</v>
      </c>
      <c r="C1" s="99"/>
      <c r="E1" s="14"/>
    </row>
    <row r="2" spans="1:7" x14ac:dyDescent="0.25">
      <c r="A2" s="4" t="s">
        <v>2</v>
      </c>
      <c r="B2" s="4" t="s">
        <v>3</v>
      </c>
      <c r="C2" s="12" t="s">
        <v>4</v>
      </c>
      <c r="E2" s="101"/>
      <c r="F2" s="101"/>
      <c r="G2" s="101"/>
    </row>
    <row r="3" spans="1:7" ht="30" x14ac:dyDescent="0.25">
      <c r="A3" s="6" t="s">
        <v>5</v>
      </c>
      <c r="B3" s="5">
        <v>250</v>
      </c>
      <c r="C3" s="5">
        <v>50</v>
      </c>
      <c r="E3" s="13"/>
    </row>
    <row r="4" spans="1:7" x14ac:dyDescent="0.25">
      <c r="A4" s="6" t="s">
        <v>6</v>
      </c>
      <c r="B4" s="5">
        <v>150</v>
      </c>
      <c r="C4" s="5">
        <v>50</v>
      </c>
      <c r="E4" s="15"/>
      <c r="F4" s="10"/>
      <c r="G4" s="10"/>
    </row>
    <row r="5" spans="1:7" x14ac:dyDescent="0.25">
      <c r="A5" s="6" t="s">
        <v>7</v>
      </c>
      <c r="B5" s="5">
        <v>50</v>
      </c>
      <c r="C5" s="5">
        <v>50</v>
      </c>
      <c r="F5" s="10"/>
      <c r="G5" s="10"/>
    </row>
    <row r="6" spans="1:7" ht="30" x14ac:dyDescent="0.25">
      <c r="A6" s="6" t="s">
        <v>8</v>
      </c>
      <c r="B6" s="5">
        <v>50</v>
      </c>
      <c r="C6" s="5">
        <v>50</v>
      </c>
      <c r="E6" s="10"/>
    </row>
    <row r="7" spans="1:7" ht="30.75" customHeight="1" x14ac:dyDescent="0.25">
      <c r="A7" s="100" t="s">
        <v>9</v>
      </c>
      <c r="B7" s="100"/>
      <c r="C7" s="100"/>
      <c r="E7" s="10"/>
      <c r="F7" s="15"/>
      <c r="G7" s="15"/>
    </row>
    <row r="8" spans="1:7" x14ac:dyDescent="0.25">
      <c r="A8" s="56"/>
      <c r="F8" s="15"/>
      <c r="G8" s="15"/>
    </row>
    <row r="9" spans="1:7" x14ac:dyDescent="0.25">
      <c r="A9" s="95" t="s">
        <v>10</v>
      </c>
      <c r="B9" s="95"/>
      <c r="C9" s="95"/>
    </row>
    <row r="10" spans="1:7" ht="45" customHeight="1" x14ac:dyDescent="0.25">
      <c r="A10" s="102" t="s">
        <v>11</v>
      </c>
      <c r="B10" s="103"/>
      <c r="C10" s="104"/>
      <c r="F10" s="10"/>
      <c r="G10" s="10"/>
    </row>
    <row r="11" spans="1:7" ht="56.25" customHeight="1" x14ac:dyDescent="0.25">
      <c r="A11" s="94" t="s">
        <v>12</v>
      </c>
      <c r="B11" s="94"/>
      <c r="C11" s="94"/>
      <c r="F11" s="10"/>
      <c r="G11" s="10"/>
    </row>
    <row r="12" spans="1:7" ht="56.25" customHeight="1" x14ac:dyDescent="0.25">
      <c r="A12" s="94" t="s">
        <v>13</v>
      </c>
      <c r="B12" s="94"/>
      <c r="C12" s="94"/>
    </row>
    <row r="13" spans="1:7" ht="93" customHeight="1" x14ac:dyDescent="0.25">
      <c r="A13" s="94" t="s">
        <v>14</v>
      </c>
      <c r="B13" s="94"/>
      <c r="C13" s="94"/>
    </row>
    <row r="14" spans="1:7" x14ac:dyDescent="0.25">
      <c r="A14" s="96" t="s">
        <v>15</v>
      </c>
      <c r="B14" s="97"/>
      <c r="C14" s="98"/>
    </row>
    <row r="15" spans="1:7" x14ac:dyDescent="0.25">
      <c r="A15" s="91" t="s">
        <v>16</v>
      </c>
      <c r="B15" s="92"/>
      <c r="C15" s="93"/>
    </row>
    <row r="16" spans="1:7" x14ac:dyDescent="0.25">
      <c r="A16" s="91" t="s">
        <v>17</v>
      </c>
      <c r="B16" s="92"/>
      <c r="C16" s="93"/>
    </row>
    <row r="17" spans="1:3" x14ac:dyDescent="0.25">
      <c r="A17" s="91" t="s">
        <v>18</v>
      </c>
      <c r="B17" s="92"/>
      <c r="C17" s="93"/>
    </row>
    <row r="18" spans="1:3" ht="35.25" customHeight="1" x14ac:dyDescent="0.25">
      <c r="A18" s="86" t="s">
        <v>19</v>
      </c>
      <c r="B18" s="67"/>
      <c r="C18" s="87"/>
    </row>
    <row r="19" spans="1:3" ht="44.45" customHeight="1" x14ac:dyDescent="0.25">
      <c r="A19" s="86" t="s">
        <v>20</v>
      </c>
      <c r="B19" s="67"/>
      <c r="C19" s="87"/>
    </row>
    <row r="20" spans="1:3" ht="45.75" customHeight="1" x14ac:dyDescent="0.25">
      <c r="A20" s="88" t="s">
        <v>21</v>
      </c>
      <c r="B20" s="89"/>
      <c r="C20" s="90"/>
    </row>
  </sheetData>
  <mergeCells count="15">
    <mergeCell ref="B1:C1"/>
    <mergeCell ref="A7:C7"/>
    <mergeCell ref="E2:G2"/>
    <mergeCell ref="A10:C10"/>
    <mergeCell ref="A11:C11"/>
    <mergeCell ref="A12:C12"/>
    <mergeCell ref="A13:C13"/>
    <mergeCell ref="A9:C9"/>
    <mergeCell ref="A14:C14"/>
    <mergeCell ref="A15:C15"/>
    <mergeCell ref="A18:C18"/>
    <mergeCell ref="A19:C19"/>
    <mergeCell ref="A20:C20"/>
    <mergeCell ref="A17:C17"/>
    <mergeCell ref="A16:C16"/>
  </mergeCells>
  <pageMargins left="0.7" right="0.7" top="0.75" bottom="0.75" header="0.3" footer="0.3"/>
  <pageSetup paperSize="8" orientation="landscape" r:id="rId1"/>
  <headerFooter>
    <oddHeader>&amp;R&amp;G</oddHeader>
    <oddFooter>&amp;L&amp;"-,Bold"&amp;8&amp;F: &amp;A&amp;"-,Regular"
Guideline, Filing location: BIM&amp;C&amp;8Page &amp;P of &amp;N
&amp;R&amp;"-,Bold"&amp;8Rev 1.0&amp;"-,Regular"
Owner: Group Manager - Digital</oddFooter>
  </headerFooter>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CF021-80A9-4AA2-B54C-DAA3B35C6F4A}">
  <sheetPr codeName="Sheet7"/>
  <dimension ref="A1:B6"/>
  <sheetViews>
    <sheetView workbookViewId="0">
      <selection activeCell="N34" sqref="N34"/>
    </sheetView>
  </sheetViews>
  <sheetFormatPr defaultRowHeight="15" x14ac:dyDescent="0.25"/>
  <cols>
    <col min="1" max="1" width="16.28515625" bestFit="1" customWidth="1"/>
    <col min="2" max="2" width="13.42578125" bestFit="1" customWidth="1"/>
  </cols>
  <sheetData>
    <row r="1" spans="1:2" x14ac:dyDescent="0.25">
      <c r="A1" t="s">
        <v>26</v>
      </c>
      <c r="B1" t="s">
        <v>85</v>
      </c>
    </row>
    <row r="2" spans="1:2" x14ac:dyDescent="0.25">
      <c r="A2" s="1" t="s">
        <v>86</v>
      </c>
    </row>
    <row r="3" spans="1:2" x14ac:dyDescent="0.25">
      <c r="A3" s="1" t="s">
        <v>87</v>
      </c>
    </row>
    <row r="4" spans="1:2" x14ac:dyDescent="0.25">
      <c r="A4" s="1" t="s">
        <v>88</v>
      </c>
    </row>
    <row r="5" spans="1:2" x14ac:dyDescent="0.25">
      <c r="A5" s="1" t="s">
        <v>89</v>
      </c>
    </row>
    <row r="6" spans="1:2" x14ac:dyDescent="0.25">
      <c r="A6" s="1" t="s">
        <v>90</v>
      </c>
      <c r="B6" t="s">
        <v>91</v>
      </c>
    </row>
  </sheetData>
  <conditionalFormatting sqref="B1:B6">
    <cfRule type="colorScale" priority="1">
      <colorScale>
        <cfvo type="min"/>
        <cfvo type="max"/>
        <color rgb="FFFCFCFF"/>
        <color rgb="FFF8696B"/>
      </colorScale>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ABB89C0BDE43547A2C4ACCF4656F41B" ma:contentTypeVersion="15" ma:contentTypeDescription="Create a new document." ma:contentTypeScope="" ma:versionID="fb6cac942bdf8a96cffe12c93415eba6">
  <xsd:schema xmlns:xsd="http://www.w3.org/2001/XMLSchema" xmlns:xs="http://www.w3.org/2001/XMLSchema" xmlns:p="http://schemas.microsoft.com/office/2006/metadata/properties" xmlns:ns2="a2935844-8b9f-499a-afcb-d5f7ba7c329f" xmlns:ns3="5c1ea9dc-d585-4b92-a6aa-03039427d185" targetNamespace="http://schemas.microsoft.com/office/2006/metadata/properties" ma:root="true" ma:fieldsID="5b77545452202efd257e9ed657206f2e" ns2:_="" ns3:_="">
    <xsd:import namespace="a2935844-8b9f-499a-afcb-d5f7ba7c329f"/>
    <xsd:import namespace="5c1ea9dc-d585-4b92-a6aa-03039427d18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bjectDetectorVersions" minOccurs="0"/>
                <xsd:element ref="ns2:MediaServiceLocation" minOccurs="0"/>
                <xsd:element ref="ns2:MediaServiceGenerationTime" minOccurs="0"/>
                <xsd:element ref="ns2:MediaServiceEventHashCode" minOccurs="0"/>
                <xsd:element ref="ns2:MediaServiceOCR" minOccurs="0"/>
                <xsd:element ref="ns2:MediaLengthInSecond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935844-8b9f-499a-afcb-d5f7ba7c32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04d136b9-594b-4bc2-b816-914fb4b73b09"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c1ea9dc-d585-4b92-a6aa-03039427d185"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093001c0-ca52-41cb-a0e2-97fb01516ef6}" ma:internalName="TaxCatchAll" ma:showField="CatchAllData" ma:web="5c1ea9dc-d585-4b92-a6aa-03039427d185">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2935844-8b9f-499a-afcb-d5f7ba7c329f">
      <Terms xmlns="http://schemas.microsoft.com/office/infopath/2007/PartnerControls"/>
    </lcf76f155ced4ddcb4097134ff3c332f>
    <TaxCatchAll xmlns="5c1ea9dc-d585-4b92-a6aa-03039427d185" xsi:nil="true"/>
  </documentManagement>
</p:properties>
</file>

<file path=customXml/item4.xml>��
</file>

<file path=customXml/itemProps1.xml><?xml version="1.0" encoding="utf-8"?>
<ds:datastoreItem xmlns:ds="http://schemas.openxmlformats.org/officeDocument/2006/customXml" ds:itemID="{84B7D19E-1EA7-470E-B44B-62AC41A692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935844-8b9f-499a-afcb-d5f7ba7c329f"/>
    <ds:schemaRef ds:uri="5c1ea9dc-d585-4b92-a6aa-03039427d1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1B5EF41-162A-4420-BCA0-731E3E6E2AA2}">
  <ds:schemaRefs>
    <ds:schemaRef ds:uri="http://schemas.microsoft.com/sharepoint/v3/contenttype/forms"/>
  </ds:schemaRefs>
</ds:datastoreItem>
</file>

<file path=customXml/itemProps3.xml><?xml version="1.0" encoding="utf-8"?>
<ds:datastoreItem xmlns:ds="http://schemas.openxmlformats.org/officeDocument/2006/customXml" ds:itemID="{7820FF7B-BB68-4B84-821C-A3ACC424EA8A}">
  <ds:schemaRefs>
    <ds:schemaRef ds:uri="5c1ea9dc-d585-4b92-a6aa-03039427d185"/>
    <ds:schemaRef ds:uri="http://purl.org/dc/elements/1.1/"/>
    <ds:schemaRef ds:uri="http://schemas.microsoft.com/office/2006/documentManagement/types"/>
    <ds:schemaRef ds:uri="http://purl.org/dc/dcmitype/"/>
    <ds:schemaRef ds:uri="http://purl.org/dc/terms/"/>
    <ds:schemaRef ds:uri="http://schemas.openxmlformats.org/package/2006/metadata/core-properties"/>
    <ds:schemaRef ds:uri="http://www.w3.org/XML/1998/namespace"/>
    <ds:schemaRef ds:uri="http://schemas.microsoft.com/office/2006/metadata/properties"/>
    <ds:schemaRef ds:uri="http://schemas.microsoft.com/office/infopath/2007/PartnerControls"/>
    <ds:schemaRef ds:uri="a2935844-8b9f-499a-afcb-d5f7ba7c329f"/>
  </ds:schemaRefs>
</ds:datastoreItem>
</file>

<file path=customXml/itemProps4.xml><?xml version="1.0" encoding="utf-8"?>
<ds:datastoreItem xmlns:ds="http://schemas.openxmlformats.org/officeDocument/2006/customXml" ds:itemID="{EC5C304F-A692-4EA0-B49D-356711620DD7}">
  <ds:schemaRefs>
    <ds:schemaRef ds:uri="http://schemas.microsoft.com/DataMashup"/>
  </ds:schemaRefs>
</ds:datastoreItem>
</file>

<file path=docMetadata/LabelInfo.xml><?xml version="1.0" encoding="utf-8"?>
<clbl:labelList xmlns:clbl="http://schemas.microsoft.com/office/2020/mipLabelMetadata">
  <clbl:label id="{aa3bffe4-7afb-4210-83ee-cc2c6fc08726}" enabled="1" method="Standard" siteId="{dff8b92c-5972-430f-82f4-816ca2225c4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TIPS</vt:lpstr>
      <vt:lpstr>Clash Matrix (Update to suit)</vt:lpstr>
      <vt:lpstr>Rawdata (Do not edit)</vt:lpstr>
      <vt:lpstr>Clash Matrix Legend</vt:lpstr>
      <vt:lpstr>Item Categories</vt:lpstr>
      <vt:lpstr>Seismic Restraints Technical</vt:lpstr>
      <vt:lpstr>#7 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Sean Wang</dc:creator>
  <cp:keywords/>
  <dc:description/>
  <cp:lastModifiedBy>Sean Wang</cp:lastModifiedBy>
  <cp:revision/>
  <cp:lastPrinted>2025-01-14T23:04:21Z</cp:lastPrinted>
  <dcterms:created xsi:type="dcterms:W3CDTF">2024-03-05T00:17:04Z</dcterms:created>
  <dcterms:modified xsi:type="dcterms:W3CDTF">2026-05-26T05:31:14Z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0x0101005ABB89C0BDE43547A2C4ACCF4656F41B</vt:lpwstr>
  </property>
  <property fmtid="{D5CDD505-2E9C-101B-9397-08002B2CF9AE}" pid="4" name="MSIP_Label_aa3bffe4-7afb-4210-83ee-cc2c6fc08726_Enabled">
    <vt:lpwstr>true</vt:lpwstr>
  </property>
  <property fmtid="{D5CDD505-2E9C-101B-9397-08002B2CF9AE}" pid="5" name="MSIP_Label_aa3bffe4-7afb-4210-83ee-cc2c6fc08726_SetDate">
    <vt:lpwstr>2025-01-14T21:42:24Z</vt:lpwstr>
  </property>
  <property fmtid="{D5CDD505-2E9C-101B-9397-08002B2CF9AE}" pid="6" name="MSIP_Label_aa3bffe4-7afb-4210-83ee-cc2c6fc08726_Method">
    <vt:lpwstr>Standard</vt:lpwstr>
  </property>
  <property fmtid="{D5CDD505-2E9C-101B-9397-08002B2CF9AE}" pid="7" name="MSIP_Label_aa3bffe4-7afb-4210-83ee-cc2c6fc08726_Name">
    <vt:lpwstr>Internal Use</vt:lpwstr>
  </property>
  <property fmtid="{D5CDD505-2E9C-101B-9397-08002B2CF9AE}" pid="8" name="MSIP_Label_aa3bffe4-7afb-4210-83ee-cc2c6fc08726_SiteId">
    <vt:lpwstr>dff8b92c-5972-430f-82f4-816ca2225c4d</vt:lpwstr>
  </property>
  <property fmtid="{D5CDD505-2E9C-101B-9397-08002B2CF9AE}" pid="9" name="MSIP_Label_aa3bffe4-7afb-4210-83ee-cc2c6fc08726_ActionId">
    <vt:lpwstr>d667549b-204a-47a3-a414-c481887b4d79</vt:lpwstr>
  </property>
  <property fmtid="{D5CDD505-2E9C-101B-9397-08002B2CF9AE}" pid="10" name="MSIP_Label_aa3bffe4-7afb-4210-83ee-cc2c6fc08726_ContentBits">
    <vt:lpwstr>0</vt:lpwstr>
  </property>
  <property fmtid="{D5CDD505-2E9C-101B-9397-08002B2CF9AE}" pid="11" name="BusinessClassification">
    <vt:lpwstr/>
  </property>
</Properties>
</file>